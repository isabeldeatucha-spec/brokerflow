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uls\Rainforest Dropbox\Paul Sasenbury\WFM Master\Category Review\Tools\Grocery\"/>
    </mc:Choice>
  </mc:AlternateContent>
  <xr:revisionPtr revIDLastSave="0" documentId="8_{368E86E1-D309-4413-9383-5C8CE5C443E1}" xr6:coauthVersionLast="47" xr6:coauthVersionMax="47" xr10:uidLastSave="{00000000-0000-0000-0000-000000000000}"/>
  <bookViews>
    <workbookView xWindow="-108" yWindow="-108" windowWidth="23256" windowHeight="13896" tabRatio="763" firstSheet="1" activeTab="1" xr2:uid="{00000000-000D-0000-FFFF-FFFF00000000}"/>
  </bookViews>
  <sheets>
    <sheet name="New_Categories" sheetId="8" state="hidden" r:id="rId1"/>
    <sheet name="New Item Setup Form" sheetId="1" r:id="rId2"/>
    <sheet name="Discontinue Item Form" sheetId="5" r:id="rId3"/>
    <sheet name="Transition Items" sheetId="7" r:id="rId4"/>
    <sheet name="GFSS Procedures" sheetId="6" r:id="rId5"/>
  </sheets>
  <definedNames>
    <definedName name="_xlnm._FilterDatabase" localSheetId="1" hidden="1">'New Item Setup Form'!$A$5:$BI$122</definedName>
    <definedName name="_xlnm._FilterDatabase" localSheetId="3" hidden="1">'Transition Items'!$A$4:$AB$614</definedName>
    <definedName name="Baking">New_Categories!$B$2:$B$7</definedName>
    <definedName name="Beverage">New_Categories!$C$2:$C$9</definedName>
    <definedName name="Breakfast">New_Categories!$D$2:$D$7</definedName>
    <definedName name="Bulk">New_Categories!$E$2:$E$12</definedName>
    <definedName name="Candy_Snacks">New_Categories!$F$2:$F$8</definedName>
    <definedName name="Candy_Snacks1">New_Categories!#REF!</definedName>
    <definedName name="Categories">Table5[[#Headers],[Essentials]:[Meals]]</definedName>
    <definedName name="Dairy">New_Categories!$G$2:$G$18</definedName>
    <definedName name="Essentials">New_Categories!$H$2:$H$6</definedName>
    <definedName name="Frozen">New_Categories!$I$2:$I$11</definedName>
    <definedName name="Meals">New_Categories!$J$2:$J$13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22" i="1" l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O122" i="1"/>
  <c r="P122" i="1" s="1"/>
  <c r="O121" i="1"/>
  <c r="P121" i="1" s="1"/>
  <c r="O120" i="1"/>
  <c r="P120" i="1" s="1"/>
  <c r="O119" i="1"/>
  <c r="P119" i="1" s="1"/>
  <c r="O118" i="1"/>
  <c r="P118" i="1" s="1"/>
  <c r="O117" i="1"/>
  <c r="P117" i="1" s="1"/>
  <c r="O116" i="1"/>
  <c r="P116" i="1" s="1"/>
  <c r="O115" i="1"/>
  <c r="P115" i="1" s="1"/>
  <c r="O114" i="1"/>
  <c r="P114" i="1" s="1"/>
  <c r="O113" i="1"/>
  <c r="P113" i="1" s="1"/>
  <c r="O112" i="1"/>
  <c r="P112" i="1" s="1"/>
  <c r="O111" i="1"/>
  <c r="P111" i="1" s="1"/>
  <c r="O110" i="1"/>
  <c r="P110" i="1" s="1"/>
  <c r="O109" i="1"/>
  <c r="P109" i="1" s="1"/>
  <c r="O108" i="1"/>
  <c r="P108" i="1" s="1"/>
  <c r="O107" i="1"/>
  <c r="P107" i="1" s="1"/>
  <c r="O106" i="1"/>
  <c r="P106" i="1" s="1"/>
  <c r="O105" i="1"/>
  <c r="P105" i="1" s="1"/>
  <c r="O104" i="1"/>
  <c r="P104" i="1" s="1"/>
  <c r="O103" i="1"/>
  <c r="P103" i="1" s="1"/>
  <c r="O102" i="1"/>
  <c r="P102" i="1" s="1"/>
  <c r="O101" i="1"/>
  <c r="P101" i="1" s="1"/>
  <c r="O100" i="1"/>
  <c r="P100" i="1" s="1"/>
  <c r="O99" i="1"/>
  <c r="P99" i="1" s="1"/>
  <c r="O98" i="1"/>
  <c r="P98" i="1" s="1"/>
  <c r="O97" i="1"/>
  <c r="P97" i="1" s="1"/>
  <c r="O96" i="1"/>
  <c r="P96" i="1" s="1"/>
  <c r="O95" i="1"/>
  <c r="P95" i="1" s="1"/>
  <c r="O94" i="1"/>
  <c r="P94" i="1" s="1"/>
  <c r="O93" i="1"/>
  <c r="P93" i="1" s="1"/>
  <c r="O92" i="1"/>
  <c r="P92" i="1" s="1"/>
  <c r="O91" i="1"/>
  <c r="P91" i="1" s="1"/>
  <c r="O90" i="1"/>
  <c r="P90" i="1" s="1"/>
  <c r="O89" i="1"/>
  <c r="P89" i="1" s="1"/>
  <c r="O88" i="1"/>
  <c r="P88" i="1" s="1"/>
  <c r="O87" i="1"/>
  <c r="P87" i="1" s="1"/>
  <c r="O86" i="1"/>
  <c r="P86" i="1" s="1"/>
  <c r="O85" i="1"/>
  <c r="P85" i="1" s="1"/>
  <c r="O84" i="1"/>
  <c r="P84" i="1" s="1"/>
  <c r="O83" i="1"/>
  <c r="P83" i="1" s="1"/>
  <c r="O82" i="1"/>
  <c r="P82" i="1" s="1"/>
  <c r="O81" i="1"/>
  <c r="P81" i="1" s="1"/>
  <c r="O80" i="1"/>
  <c r="P80" i="1" s="1"/>
  <c r="O79" i="1"/>
  <c r="P79" i="1" s="1"/>
  <c r="O78" i="1"/>
  <c r="P78" i="1" s="1"/>
  <c r="O77" i="1"/>
  <c r="P77" i="1" s="1"/>
  <c r="O76" i="1"/>
  <c r="P76" i="1" s="1"/>
  <c r="O75" i="1"/>
  <c r="P75" i="1" s="1"/>
  <c r="O74" i="1"/>
  <c r="P74" i="1" s="1"/>
  <c r="O73" i="1"/>
  <c r="P73" i="1" s="1"/>
  <c r="O72" i="1"/>
  <c r="P72" i="1" s="1"/>
  <c r="O71" i="1"/>
  <c r="P71" i="1" s="1"/>
  <c r="O70" i="1"/>
  <c r="P70" i="1" s="1"/>
  <c r="O69" i="1"/>
  <c r="P69" i="1" s="1"/>
  <c r="O68" i="1"/>
  <c r="P68" i="1" s="1"/>
  <c r="O67" i="1"/>
  <c r="P67" i="1" s="1"/>
  <c r="O66" i="1"/>
  <c r="P66" i="1" s="1"/>
  <c r="O65" i="1"/>
  <c r="P65" i="1" s="1"/>
  <c r="O64" i="1"/>
  <c r="P64" i="1" s="1"/>
  <c r="O63" i="1"/>
  <c r="P63" i="1" s="1"/>
  <c r="O62" i="1"/>
  <c r="P62" i="1" s="1"/>
  <c r="O61" i="1"/>
  <c r="P61" i="1" s="1"/>
  <c r="O60" i="1"/>
  <c r="P60" i="1" s="1"/>
  <c r="O59" i="1"/>
  <c r="P59" i="1" s="1"/>
  <c r="O58" i="1"/>
  <c r="P58" i="1" s="1"/>
  <c r="O57" i="1"/>
  <c r="P57" i="1" s="1"/>
  <c r="O56" i="1"/>
  <c r="P56" i="1" s="1"/>
  <c r="O55" i="1"/>
  <c r="P55" i="1" s="1"/>
  <c r="O54" i="1"/>
  <c r="P54" i="1" s="1"/>
  <c r="O53" i="1"/>
  <c r="P53" i="1" s="1"/>
  <c r="O52" i="1"/>
  <c r="P52" i="1" s="1"/>
  <c r="O51" i="1"/>
  <c r="P51" i="1" s="1"/>
  <c r="O50" i="1"/>
  <c r="P50" i="1" s="1"/>
  <c r="O49" i="1"/>
  <c r="P49" i="1" s="1"/>
  <c r="O48" i="1"/>
  <c r="P48" i="1" s="1"/>
  <c r="O47" i="1"/>
  <c r="P47" i="1" s="1"/>
  <c r="O46" i="1"/>
  <c r="P46" i="1" s="1"/>
  <c r="O45" i="1"/>
  <c r="P45" i="1" s="1"/>
  <c r="O44" i="1"/>
  <c r="P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O37" i="1"/>
  <c r="P37" i="1" s="1"/>
  <c r="O36" i="1"/>
  <c r="P36" i="1" s="1"/>
  <c r="O35" i="1"/>
  <c r="P35" i="1" s="1"/>
  <c r="O34" i="1"/>
  <c r="P34" i="1" s="1"/>
  <c r="O33" i="1"/>
  <c r="P33" i="1" s="1"/>
  <c r="O32" i="1"/>
  <c r="P32" i="1" s="1"/>
  <c r="O31" i="1"/>
  <c r="P31" i="1" s="1"/>
  <c r="O30" i="1"/>
  <c r="P30" i="1" s="1"/>
  <c r="O29" i="1"/>
  <c r="P29" i="1" s="1"/>
  <c r="O28" i="1"/>
  <c r="P28" i="1" s="1"/>
  <c r="O27" i="1"/>
  <c r="P27" i="1" s="1"/>
  <c r="O26" i="1"/>
  <c r="P26" i="1" s="1"/>
  <c r="O25" i="1"/>
  <c r="P25" i="1" s="1"/>
  <c r="O24" i="1"/>
  <c r="P24" i="1" s="1"/>
  <c r="O23" i="1"/>
  <c r="P23" i="1" s="1"/>
  <c r="O22" i="1"/>
  <c r="P22" i="1" s="1"/>
  <c r="O21" i="1"/>
  <c r="P21" i="1" s="1"/>
  <c r="O20" i="1"/>
  <c r="P20" i="1" s="1"/>
  <c r="H122" i="1" l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M5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614" i="7"/>
  <c r="M613" i="7"/>
  <c r="M612" i="7"/>
  <c r="M611" i="7"/>
  <c r="M610" i="7"/>
  <c r="M609" i="7"/>
  <c r="M608" i="7"/>
  <c r="M607" i="7"/>
  <c r="M606" i="7"/>
  <c r="M605" i="7"/>
  <c r="M604" i="7"/>
  <c r="M603" i="7"/>
  <c r="M602" i="7"/>
  <c r="M601" i="7"/>
  <c r="M600" i="7"/>
  <c r="M599" i="7"/>
  <c r="M598" i="7"/>
  <c r="M597" i="7"/>
  <c r="M596" i="7"/>
  <c r="M595" i="7"/>
  <c r="M594" i="7"/>
  <c r="M593" i="7"/>
  <c r="M592" i="7"/>
  <c r="M591" i="7"/>
  <c r="M590" i="7"/>
  <c r="M589" i="7"/>
  <c r="M588" i="7"/>
  <c r="M587" i="7"/>
  <c r="M586" i="7"/>
  <c r="M585" i="7"/>
  <c r="M584" i="7"/>
  <c r="M583" i="7"/>
  <c r="M582" i="7"/>
  <c r="M581" i="7"/>
  <c r="M580" i="7"/>
  <c r="M579" i="7"/>
  <c r="M578" i="7"/>
  <c r="M577" i="7"/>
  <c r="M576" i="7"/>
  <c r="M575" i="7"/>
  <c r="M574" i="7"/>
  <c r="M573" i="7"/>
  <c r="M572" i="7"/>
  <c r="M571" i="7"/>
  <c r="M570" i="7"/>
  <c r="M569" i="7"/>
  <c r="M568" i="7"/>
  <c r="M567" i="7"/>
  <c r="M566" i="7"/>
  <c r="M565" i="7"/>
  <c r="M564" i="7"/>
  <c r="M563" i="7"/>
  <c r="M562" i="7"/>
  <c r="M561" i="7"/>
  <c r="M560" i="7"/>
  <c r="M559" i="7"/>
  <c r="M558" i="7"/>
  <c r="M557" i="7"/>
  <c r="M556" i="7"/>
  <c r="M555" i="7"/>
  <c r="M554" i="7"/>
  <c r="M553" i="7"/>
  <c r="M552" i="7"/>
  <c r="M551" i="7"/>
  <c r="M550" i="7"/>
  <c r="M549" i="7"/>
  <c r="M548" i="7"/>
  <c r="M547" i="7"/>
  <c r="M546" i="7"/>
  <c r="M545" i="7"/>
  <c r="M544" i="7"/>
  <c r="M543" i="7"/>
  <c r="M542" i="7"/>
  <c r="M541" i="7"/>
  <c r="M540" i="7"/>
  <c r="M539" i="7"/>
  <c r="M538" i="7"/>
  <c r="M537" i="7"/>
  <c r="M536" i="7"/>
  <c r="M535" i="7"/>
  <c r="M534" i="7"/>
  <c r="M533" i="7"/>
  <c r="M532" i="7"/>
  <c r="M531" i="7"/>
  <c r="M530" i="7"/>
  <c r="M529" i="7"/>
  <c r="M528" i="7"/>
  <c r="M527" i="7"/>
  <c r="M526" i="7"/>
  <c r="M525" i="7"/>
  <c r="M524" i="7"/>
  <c r="M523" i="7"/>
  <c r="M522" i="7"/>
  <c r="M521" i="7"/>
  <c r="M520" i="7"/>
  <c r="M519" i="7"/>
  <c r="M518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M505" i="7"/>
  <c r="M504" i="7"/>
  <c r="M503" i="7"/>
  <c r="M502" i="7"/>
  <c r="M501" i="7"/>
  <c r="M500" i="7"/>
  <c r="M499" i="7"/>
  <c r="M498" i="7"/>
  <c r="M497" i="7"/>
  <c r="M496" i="7"/>
  <c r="M495" i="7"/>
  <c r="M494" i="7"/>
  <c r="M493" i="7"/>
  <c r="M492" i="7"/>
  <c r="M491" i="7"/>
  <c r="M490" i="7"/>
  <c r="M489" i="7"/>
  <c r="M488" i="7"/>
  <c r="M487" i="7"/>
  <c r="M486" i="7"/>
  <c r="M485" i="7"/>
  <c r="M484" i="7"/>
  <c r="M483" i="7"/>
  <c r="M482" i="7"/>
  <c r="M481" i="7"/>
  <c r="M480" i="7"/>
  <c r="M479" i="7"/>
  <c r="M478" i="7"/>
  <c r="M477" i="7"/>
  <c r="M476" i="7"/>
  <c r="M475" i="7"/>
  <c r="M474" i="7"/>
  <c r="M473" i="7"/>
  <c r="M472" i="7"/>
  <c r="M471" i="7"/>
  <c r="M470" i="7"/>
  <c r="M469" i="7"/>
  <c r="M468" i="7"/>
  <c r="M467" i="7"/>
  <c r="M466" i="7"/>
  <c r="M465" i="7"/>
  <c r="M464" i="7"/>
  <c r="M463" i="7"/>
  <c r="M462" i="7"/>
  <c r="M461" i="7"/>
  <c r="M460" i="7"/>
  <c r="M459" i="7"/>
  <c r="M458" i="7"/>
  <c r="M457" i="7"/>
  <c r="M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M434" i="7"/>
  <c r="M433" i="7"/>
  <c r="M432" i="7"/>
  <c r="M431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4" i="7"/>
  <c r="G20" i="1" l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O19" i="1" l="1"/>
  <c r="P19" i="1" s="1"/>
  <c r="R19" i="1" s="1"/>
  <c r="F10" i="5" l="1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9" i="5"/>
  <c r="G19" i="1"/>
  <c r="H19" i="1" s="1"/>
</calcChain>
</file>

<file path=xl/sharedStrings.xml><?xml version="1.0" encoding="utf-8"?>
<sst xmlns="http://schemas.openxmlformats.org/spreadsheetml/2006/main" count="289" uniqueCount="214">
  <si>
    <t>Brand</t>
  </si>
  <si>
    <t>Description</t>
  </si>
  <si>
    <t>X</t>
  </si>
  <si>
    <t>SRP</t>
  </si>
  <si>
    <t>Category</t>
  </si>
  <si>
    <t>Merchandised In Tray?</t>
  </si>
  <si>
    <t>Units Per Tray</t>
  </si>
  <si>
    <t>Height</t>
  </si>
  <si>
    <t>Width</t>
  </si>
  <si>
    <t>Depth</t>
  </si>
  <si>
    <t>Tray Height</t>
  </si>
  <si>
    <t>Tray Width</t>
  </si>
  <si>
    <t>Tray Depth</t>
  </si>
  <si>
    <t>Case Pack</t>
  </si>
  <si>
    <t>Unit Size</t>
  </si>
  <si>
    <t>Space Planning Info</t>
  </si>
  <si>
    <t>Grocery</t>
  </si>
  <si>
    <t>GM%</t>
  </si>
  <si>
    <t>oz</t>
  </si>
  <si>
    <t>N</t>
  </si>
  <si>
    <t>UPC Check Digit</t>
  </si>
  <si>
    <t>UPC 
12345612345</t>
  </si>
  <si>
    <t>None</t>
  </si>
  <si>
    <t>Exclusivity</t>
  </si>
  <si>
    <t>Family</t>
  </si>
  <si>
    <t>Pallets per Truckload</t>
  </si>
  <si>
    <t>Cases per pallet</t>
  </si>
  <si>
    <r>
      <t xml:space="preserve">(cases per layer) </t>
    </r>
    <r>
      <rPr>
        <b/>
        <sz val="10"/>
        <rFont val="Arial"/>
        <family val="2"/>
      </rPr>
      <t xml:space="preserve">Pallet Tie </t>
    </r>
  </si>
  <si>
    <r>
      <t xml:space="preserve">(layers per pallet) </t>
    </r>
    <r>
      <rPr>
        <b/>
        <sz val="10"/>
        <rFont val="Arial"/>
        <family val="2"/>
      </rPr>
      <t xml:space="preserve">Pallet High </t>
    </r>
  </si>
  <si>
    <t>Case Dimensions (LxWxH)</t>
  </si>
  <si>
    <t>CASE CUBE</t>
  </si>
  <si>
    <t>CASE WEIGHT (LBs.)</t>
  </si>
  <si>
    <t>PALLET WEIGHT (LBs.)</t>
  </si>
  <si>
    <t>Pallet Configuration</t>
  </si>
  <si>
    <t>Demo Support Program (# of Stores / Frequency)</t>
  </si>
  <si>
    <t>Unit Of Measure</t>
  </si>
  <si>
    <t>Maximum Delivered Case Cost To Distributor</t>
  </si>
  <si>
    <t>Manufacturer/ Company</t>
  </si>
  <si>
    <t>Vendor Contact Name</t>
  </si>
  <si>
    <t>Vendor Contact Email</t>
  </si>
  <si>
    <t>Vendor Contact Phone</t>
  </si>
  <si>
    <t>Vendor Contact Information</t>
  </si>
  <si>
    <t>Candy</t>
  </si>
  <si>
    <t>Cereals Hot</t>
  </si>
  <si>
    <t>Condiments</t>
  </si>
  <si>
    <t>Cookies</t>
  </si>
  <si>
    <t>Eggs</t>
  </si>
  <si>
    <t>Milk</t>
  </si>
  <si>
    <t>Oils</t>
  </si>
  <si>
    <t>Pastas</t>
  </si>
  <si>
    <t>Seasonings</t>
  </si>
  <si>
    <t>Soups</t>
  </si>
  <si>
    <t>Vinegars</t>
  </si>
  <si>
    <t>Water</t>
  </si>
  <si>
    <t>Yogurt</t>
  </si>
  <si>
    <t>EVALUATE UPC</t>
  </si>
  <si>
    <t>DISCO</t>
  </si>
  <si>
    <t>National Discontinuation Notice Form</t>
  </si>
  <si>
    <t>Reason for Discontinuation</t>
  </si>
  <si>
    <t>Product Change/UPC Change</t>
  </si>
  <si>
    <t>Quality Standards Issue</t>
  </si>
  <si>
    <t>Slow Movement</t>
  </si>
  <si>
    <t xml:space="preserve">Other </t>
  </si>
  <si>
    <t>Discontinuation Date</t>
  </si>
  <si>
    <t>Manufacturer Discontinuation</t>
  </si>
  <si>
    <t>Is this item a Line Extension</t>
  </si>
  <si>
    <t>Yes</t>
  </si>
  <si>
    <t>UNFI East</t>
  </si>
  <si>
    <t>UNFI West</t>
  </si>
  <si>
    <t>Item
Code</t>
  </si>
  <si>
    <t>Case
Cost</t>
  </si>
  <si>
    <t>Cost Effective Date</t>
  </si>
  <si>
    <t>Lancaster (SW)   Cost</t>
  </si>
  <si>
    <t>Denver (RM)
Cost</t>
  </si>
  <si>
    <t>Rocklin (NC)
Cost</t>
  </si>
  <si>
    <t>Mor Vall (SC)
Cost</t>
  </si>
  <si>
    <t>Rdg/Aub (PNW)
Cost</t>
  </si>
  <si>
    <t>Maximum Case Cost  (Including Markup)</t>
  </si>
  <si>
    <t>For UNFI items Please use the Default 8%.  For all other Distributors Please put in the markup needed for accurate costing information</t>
  </si>
  <si>
    <t>Like Item UPC</t>
  </si>
  <si>
    <t>Manufacture Launch Month</t>
  </si>
  <si>
    <t>All new item submissions require free fill</t>
  </si>
  <si>
    <t>Any incorrectly submitted UPCs may be subject to a fine of one case/sku/store additional free fill or up to $10,000 a SKU</t>
  </si>
  <si>
    <t>PDF of the scannable barcode is required for each UPC (if not on presentation power point slide)</t>
  </si>
  <si>
    <t>Vendors Review check list below and acknowledge you have read and completed the following by clicking in a check mark in the boxes below:</t>
  </si>
  <si>
    <t>USDA Organic (Y/N)</t>
  </si>
  <si>
    <t>Non-GMO Project Verified (Y/N)</t>
  </si>
  <si>
    <t>Third Party Gluten Free Certification (Y/N)</t>
  </si>
  <si>
    <t>Fair Trade Certified (Y/N)</t>
  </si>
  <si>
    <t>Demeter (Biodynamic) Certified      (Y/N)</t>
  </si>
  <si>
    <t>Have you completed an EcoScale Audit (cleaning products only)</t>
  </si>
  <si>
    <t>No</t>
  </si>
  <si>
    <t>Coffee</t>
  </si>
  <si>
    <t>Check digit</t>
  </si>
  <si>
    <r>
      <t xml:space="preserve">Distributor
</t>
    </r>
    <r>
      <rPr>
        <sz val="12"/>
        <rFont val="Arial"/>
        <family val="2"/>
      </rPr>
      <t>(or vendor name if shipping direct)</t>
    </r>
  </si>
  <si>
    <r>
      <t xml:space="preserve">VIN 
</t>
    </r>
    <r>
      <rPr>
        <sz val="12"/>
        <rFont val="Arial"/>
        <family val="2"/>
      </rPr>
      <t>Vendor Item # for stores to order</t>
    </r>
  </si>
  <si>
    <t>Promotional Support Program Summary</t>
  </si>
  <si>
    <r>
      <rPr>
        <b/>
        <sz val="12"/>
        <color rgb="FFFF0000"/>
        <rFont val="Arial"/>
        <family val="2"/>
      </rPr>
      <t>Distributor Preference Information</t>
    </r>
    <r>
      <rPr>
        <b/>
        <sz val="12"/>
        <rFont val="Arial"/>
        <family val="2"/>
      </rPr>
      <t xml:space="preserve"> </t>
    </r>
    <r>
      <rPr>
        <b/>
        <sz val="9"/>
        <rFont val="Arial"/>
        <family val="2"/>
      </rPr>
      <t>(if UNFI Please proceed to fill in X - AF if that information is available)</t>
    </r>
  </si>
  <si>
    <t>Regional Identifier UPC</t>
  </si>
  <si>
    <t xml:space="preserve">New Item UPC Check </t>
  </si>
  <si>
    <t>UOM</t>
  </si>
  <si>
    <t>Manufacture UPC 
12345612345</t>
  </si>
  <si>
    <t>Promotion Support Program (Column AG)</t>
  </si>
  <si>
    <t>Demo Support Program (Column AH)</t>
  </si>
  <si>
    <t>Maximum Unit Cost (Including Markup)</t>
  </si>
  <si>
    <t>Attributes Questionnaire:   "Is this Product…"X"..?"</t>
  </si>
  <si>
    <r>
      <rPr>
        <b/>
        <u/>
        <sz val="12"/>
        <rFont val="Arial"/>
        <family val="2"/>
      </rPr>
      <t>All UPCs must follow the designated format</t>
    </r>
    <r>
      <rPr>
        <b/>
        <sz val="12"/>
        <rFont val="Arial"/>
        <family val="2"/>
      </rPr>
      <t xml:space="preserve"> (Columns E -F, </t>
    </r>
    <r>
      <rPr>
        <b/>
        <sz val="12"/>
        <color rgb="FFFF0000"/>
        <rFont val="Arial"/>
        <family val="2"/>
      </rPr>
      <t>Columns G - H fill in automatically</t>
    </r>
    <r>
      <rPr>
        <b/>
        <sz val="12"/>
        <rFont val="Arial"/>
        <family val="2"/>
      </rPr>
      <t>)</t>
    </r>
  </si>
  <si>
    <t>If the items are approved, we require each Supplier to set up all items in IX-ONE (www.ix-one.net)</t>
  </si>
  <si>
    <t>UNFI</t>
  </si>
  <si>
    <t>4</t>
  </si>
  <si>
    <t>5.25 W x 8.25 H x 9.5 L</t>
  </si>
  <si>
    <t>8</t>
  </si>
  <si>
    <t>.238</t>
  </si>
  <si>
    <t>Nutrition bars</t>
  </si>
  <si>
    <t>OLD ITEMS</t>
  </si>
  <si>
    <t>NEW ITEMS</t>
  </si>
  <si>
    <t>Date Entered</t>
  </si>
  <si>
    <t>UPC</t>
  </si>
  <si>
    <t>CATEGORY</t>
  </si>
  <si>
    <t>BRAND</t>
  </si>
  <si>
    <t>PRODUCT NAME</t>
  </si>
  <si>
    <t>SIZE</t>
  </si>
  <si>
    <t>CASEPACK</t>
  </si>
  <si>
    <t>DISTRIBUTOR</t>
  </si>
  <si>
    <t>CASE COST</t>
  </si>
  <si>
    <t>UNFI WEST VIN</t>
  </si>
  <si>
    <t>UNFI EAST VIN</t>
  </si>
  <si>
    <t>ETA</t>
  </si>
  <si>
    <t>(No check digit)</t>
  </si>
  <si>
    <t>(No Check Digit</t>
  </si>
  <si>
    <t>Canned Vegetables</t>
  </si>
  <si>
    <t>Olde Time</t>
  </si>
  <si>
    <t>Creamed Corn</t>
  </si>
  <si>
    <t>123456-7</t>
  </si>
  <si>
    <t>20</t>
  </si>
  <si>
    <t>0000000000000</t>
  </si>
  <si>
    <t>Bar Company</t>
  </si>
  <si>
    <t>Delicious Protein</t>
  </si>
  <si>
    <t>01234567891</t>
  </si>
  <si>
    <t>1</t>
  </si>
  <si>
    <t>Barr Bulk</t>
  </si>
  <si>
    <t>Barr.Bulk@Barco.com</t>
  </si>
  <si>
    <t>555-555-5555</t>
  </si>
  <si>
    <t>January 2019</t>
  </si>
  <si>
    <t>Desserts</t>
  </si>
  <si>
    <t>Flatbreads</t>
  </si>
  <si>
    <t>Fermented</t>
  </si>
  <si>
    <t>Dips</t>
  </si>
  <si>
    <t>Essentials</t>
  </si>
  <si>
    <t>Baking</t>
  </si>
  <si>
    <t>Fruits</t>
  </si>
  <si>
    <t>Beverage</t>
  </si>
  <si>
    <t>Breakfast</t>
  </si>
  <si>
    <t>Pasta</t>
  </si>
  <si>
    <t>Entrees</t>
  </si>
  <si>
    <t>Fruit</t>
  </si>
  <si>
    <t>Pizzas</t>
  </si>
  <si>
    <t>Vegetables</t>
  </si>
  <si>
    <t>Meals</t>
  </si>
  <si>
    <t>Dairy</t>
  </si>
  <si>
    <t>Frozen</t>
  </si>
  <si>
    <t>Bulk</t>
  </si>
  <si>
    <t>Candy_Snacks</t>
  </si>
  <si>
    <t>Baby_Products</t>
  </si>
  <si>
    <t>General_Merchandise</t>
  </si>
  <si>
    <t>Household_Cleaners</t>
  </si>
  <si>
    <t>Paper_and_Household_Products</t>
  </si>
  <si>
    <t>Pet_Food_and_Pet_Care</t>
  </si>
  <si>
    <t>Bin_Bulk</t>
  </si>
  <si>
    <t>Prepack_Snacks_(Slatwall_&amp;_Tubs)</t>
  </si>
  <si>
    <t>Beans,_Grains_&amp;_Rice</t>
  </si>
  <si>
    <t>Cereals_Cold</t>
  </si>
  <si>
    <t>Cereals_Hot</t>
  </si>
  <si>
    <t>Food_Mixes</t>
  </si>
  <si>
    <t>Functional_Snacks</t>
  </si>
  <si>
    <t>Nut_Butter</t>
  </si>
  <si>
    <t>Kefir_and_Drinkable_Yogurt</t>
  </si>
  <si>
    <t>Milk_Products</t>
  </si>
  <si>
    <t>Nutrition_Bars_and_Gels</t>
  </si>
  <si>
    <t>Plant_Based_Cheese</t>
  </si>
  <si>
    <t>Plant_Based_Protein</t>
  </si>
  <si>
    <t>Refrigerated_Coffee_and_Tea</t>
  </si>
  <si>
    <t>Refrigerated_Functional_Beverage</t>
  </si>
  <si>
    <t>Refrigerated_Juice</t>
  </si>
  <si>
    <t>Ambient_Bread</t>
  </si>
  <si>
    <t>Frozen_Bread</t>
  </si>
  <si>
    <t>Baking_Mixes,_Ingredients_and_Flours</t>
  </si>
  <si>
    <t>Fruit_Spreads</t>
  </si>
  <si>
    <t>Nut_Butters</t>
  </si>
  <si>
    <t>Cocktail/Drink_Mixes</t>
  </si>
  <si>
    <t>Plant-Based_Water</t>
  </si>
  <si>
    <t>RTD_Coffee</t>
  </si>
  <si>
    <t>RTD_Teas</t>
  </si>
  <si>
    <t>SS_Functional_Beverages</t>
  </si>
  <si>
    <t>SS_Juice</t>
  </si>
  <si>
    <t>Sodas_and_Sparkling_Juices</t>
  </si>
  <si>
    <t>Packaged_Teas</t>
  </si>
  <si>
    <t>Shelf_Stable_Milk_Beverages</t>
  </si>
  <si>
    <t>Wholesome_Bars_and_Snacks</t>
  </si>
  <si>
    <t>Crackers_and_Crispbreads</t>
  </si>
  <si>
    <t>Dips_and_Salsas</t>
  </si>
  <si>
    <t>Salty_Snacks</t>
  </si>
  <si>
    <t>Canned_Meat_and_Seafood</t>
  </si>
  <si>
    <t>Entrees_and_Mixes</t>
  </si>
  <si>
    <t>Packaged_Beans,_Grains_and_Rice</t>
  </si>
  <si>
    <t>Pasta_Sauces</t>
  </si>
  <si>
    <t>Pickles,_Olives_and_Peppers</t>
  </si>
  <si>
    <t>Plant_Based_Milk</t>
  </si>
  <si>
    <t>Fresh_Convenience</t>
  </si>
  <si>
    <t>Ice</t>
  </si>
  <si>
    <t>Sweeteners</t>
  </si>
  <si>
    <t>Global Flavors</t>
  </si>
  <si>
    <t>SS_Vegetables</t>
  </si>
  <si>
    <t>New Item Setup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</si>
</sst>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4" formatCode="_(&quot;$&quot;* #,##0.00_);_(&quot;$&quot;* \(#,##0.00\);_(&quot;$&quot;* &quot;-&quot;??_);_(@_)"/>
    <numFmt numFmtId="164" formatCode="000000\-00000"/>
    <numFmt numFmtId="165" formatCode="&quot;$&quot;#,##0.00;[Red]&quot;$&quot;#,##0.00"/>
    <numFmt numFmtId="166" formatCode="0.0%"/>
    <numFmt numFmtId="167" formatCode="0000000000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2"/>
      <color theme="1"/>
      <name val="Arial"/>
      <family val="2"/>
    </font>
    <font>
      <u/>
      <sz val="12"/>
      <color indexed="12"/>
      <name val="Arial"/>
      <family val="2"/>
    </font>
    <font>
      <b/>
      <sz val="12"/>
      <color rgb="FFFF0000"/>
      <name val="Arial"/>
      <family val="2"/>
    </font>
    <font>
      <b/>
      <sz val="22"/>
      <color indexed="9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b/>
      <sz val="16"/>
      <color theme="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2"/>
      <color theme="5"/>
      <name val="Arial"/>
      <family val="2"/>
    </font>
    <font>
      <sz val="12"/>
      <color theme="5"/>
      <name val="Arial"/>
      <family val="2"/>
    </font>
    <font>
      <sz val="12"/>
      <color theme="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sz val="12"/>
      <color theme="0" tint="-0.499984740745262"/>
      <name val="Arial"/>
      <family val="2"/>
    </font>
    <font>
      <sz val="12"/>
      <color theme="0" tint="-0.499984740745262"/>
      <name val="Arial"/>
      <family val="2"/>
    </font>
    <font>
      <b/>
      <i/>
      <sz val="12"/>
      <color theme="0" tint="-0.499984740745262"/>
      <name val="Arial"/>
      <family val="2"/>
    </font>
    <font>
      <b/>
      <sz val="16"/>
      <color indexed="9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u/>
      <sz val="8"/>
      <color theme="10"/>
      <name val="Calibri"/>
      <family val="2"/>
    </font>
    <font>
      <b/>
      <sz val="9"/>
      <name val="Arial"/>
      <family val="2"/>
    </font>
    <font>
      <b/>
      <u/>
      <sz val="12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rgb="FF000000"/>
      <name val="Calibri"/>
      <family val="2"/>
    </font>
    <font>
      <b/>
      <i/>
      <sz val="10"/>
      <color theme="0"/>
      <name val="Calibri"/>
      <family val="2"/>
      <scheme val="minor"/>
    </font>
    <font>
      <b/>
      <i/>
      <sz val="10"/>
      <color theme="0"/>
      <name val="Calibri"/>
      <family val="2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23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  <scheme val="minor"/>
    </font>
    <font>
      <i/>
      <sz val="12"/>
      <name val="Arial"/>
      <family val="2"/>
    </font>
    <font>
      <i/>
      <sz val="11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i/>
      <sz val="12"/>
      <color theme="0" tint="-0.499984740745262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0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5" fillId="0" borderId="0"/>
    <xf numFmtId="9" fontId="1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5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4" fontId="1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5" fillId="0" borderId="0"/>
    <xf numFmtId="0" fontId="1" fillId="0" borderId="0"/>
    <xf numFmtId="9" fontId="15" fillId="0" borderId="0" applyFont="0" applyFill="0" applyBorder="0" applyAlignment="0" applyProtection="0"/>
    <xf numFmtId="0" fontId="27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5" fillId="0" borderId="0"/>
  </cellStyleXfs>
  <cellXfs count="193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/>
    <xf numFmtId="49" fontId="4" fillId="0" borderId="0" xfId="0" applyNumberFormat="1" applyFont="1" applyAlignment="1">
      <alignment horizontal="left"/>
    </xf>
    <xf numFmtId="0" fontId="7" fillId="0" borderId="0" xfId="0" applyFont="1"/>
    <xf numFmtId="49" fontId="3" fillId="0" borderId="0" xfId="1" applyNumberFormat="1" applyFont="1" applyFill="1" applyBorder="1" applyAlignment="1">
      <alignment horizontal="left"/>
    </xf>
    <xf numFmtId="0" fontId="8" fillId="0" borderId="0" xfId="2" applyFont="1" applyFill="1" applyBorder="1" applyAlignment="1" applyProtection="1">
      <alignment horizontal="left"/>
    </xf>
    <xf numFmtId="164" fontId="4" fillId="0" borderId="0" xfId="0" applyNumberFormat="1" applyFont="1" applyAlignment="1">
      <alignment horizontal="center" wrapText="1"/>
    </xf>
    <xf numFmtId="49" fontId="3" fillId="0" borderId="1" xfId="1" applyNumberFormat="1" applyFont="1" applyFill="1" applyBorder="1" applyAlignment="1">
      <alignment horizontal="center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7" fontId="3" fillId="0" borderId="1" xfId="1" applyNumberFormat="1" applyFont="1" applyFill="1" applyBorder="1" applyAlignment="1">
      <alignment horizontal="center" wrapText="1"/>
    </xf>
    <xf numFmtId="165" fontId="3" fillId="0" borderId="1" xfId="1" applyNumberFormat="1" applyFont="1" applyFill="1" applyBorder="1" applyAlignment="1">
      <alignment horizontal="center" wrapText="1"/>
    </xf>
    <xf numFmtId="0" fontId="11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49" fontId="10" fillId="2" borderId="0" xfId="0" applyNumberFormat="1" applyFont="1" applyFill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4" fontId="13" fillId="3" borderId="2" xfId="0" applyNumberFormat="1" applyFont="1" applyFill="1" applyBorder="1" applyAlignment="1">
      <alignment vertical="center"/>
    </xf>
    <xf numFmtId="164" fontId="13" fillId="3" borderId="3" xfId="0" applyNumberFormat="1" applyFont="1" applyFill="1" applyBorder="1"/>
    <xf numFmtId="0" fontId="19" fillId="3" borderId="4" xfId="0" applyFont="1" applyFill="1" applyBorder="1" applyAlignment="1">
      <alignment horizontal="center" wrapText="1"/>
    </xf>
    <xf numFmtId="164" fontId="13" fillId="3" borderId="5" xfId="0" applyNumberFormat="1" applyFont="1" applyFill="1" applyBorder="1"/>
    <xf numFmtId="0" fontId="0" fillId="4" borderId="0" xfId="0" applyFill="1"/>
    <xf numFmtId="49" fontId="3" fillId="0" borderId="1" xfId="0" applyNumberFormat="1" applyFont="1" applyBorder="1" applyAlignment="1">
      <alignment horizontal="center"/>
    </xf>
    <xf numFmtId="1" fontId="4" fillId="5" borderId="1" xfId="1" applyNumberFormat="1" applyFont="1" applyFill="1" applyBorder="1" applyAlignment="1">
      <alignment horizontal="center" textRotation="90" wrapText="1"/>
    </xf>
    <xf numFmtId="0" fontId="4" fillId="5" borderId="1" xfId="0" applyFont="1" applyFill="1" applyBorder="1" applyAlignment="1">
      <alignment horizontal="center" wrapText="1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49" fontId="23" fillId="0" borderId="1" xfId="1" applyNumberFormat="1" applyFont="1" applyFill="1" applyBorder="1" applyAlignment="1">
      <alignment horizontal="center" wrapText="1"/>
    </xf>
    <xf numFmtId="44" fontId="24" fillId="0" borderId="1" xfId="1" applyFont="1" applyFill="1" applyBorder="1" applyAlignment="1">
      <alignment horizontal="center" wrapText="1"/>
    </xf>
    <xf numFmtId="0" fontId="3" fillId="0" borderId="1" xfId="0" applyFont="1" applyBorder="1"/>
    <xf numFmtId="49" fontId="5" fillId="0" borderId="1" xfId="2" applyNumberFormat="1" applyFill="1" applyBorder="1" applyAlignment="1" applyProtection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44" fontId="21" fillId="5" borderId="1" xfId="1" applyFont="1" applyFill="1" applyBorder="1" applyAlignment="1">
      <alignment horizontal="center" wrapText="1"/>
    </xf>
    <xf numFmtId="1" fontId="4" fillId="5" borderId="7" xfId="1" applyNumberFormat="1" applyFont="1" applyFill="1" applyBorder="1" applyAlignment="1">
      <alignment horizontal="center" wrapText="1"/>
    </xf>
    <xf numFmtId="10" fontId="9" fillId="8" borderId="8" xfId="0" applyNumberFormat="1" applyFont="1" applyFill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0" fontId="4" fillId="7" borderId="2" xfId="0" applyFont="1" applyFill="1" applyBorder="1" applyAlignment="1">
      <alignment horizontal="center" wrapText="1"/>
    </xf>
    <xf numFmtId="0" fontId="4" fillId="7" borderId="3" xfId="0" applyFont="1" applyFill="1" applyBorder="1" applyAlignment="1">
      <alignment horizontal="center" wrapText="1"/>
    </xf>
    <xf numFmtId="0" fontId="4" fillId="7" borderId="7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/>
    </xf>
    <xf numFmtId="1" fontId="2" fillId="11" borderId="1" xfId="1" applyNumberFormat="1" applyFont="1" applyFill="1" applyBorder="1" applyAlignment="1">
      <alignment horizontal="center" wrapText="1"/>
    </xf>
    <xf numFmtId="49" fontId="2" fillId="11" borderId="1" xfId="1" applyNumberFormat="1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wrapText="1"/>
    </xf>
    <xf numFmtId="164" fontId="13" fillId="2" borderId="2" xfId="0" applyNumberFormat="1" applyFont="1" applyFill="1" applyBorder="1" applyAlignment="1">
      <alignment vertical="center"/>
    </xf>
    <xf numFmtId="164" fontId="13" fillId="2" borderId="3" xfId="0" applyNumberFormat="1" applyFont="1" applyFill="1" applyBorder="1"/>
    <xf numFmtId="49" fontId="12" fillId="2" borderId="1" xfId="3" applyNumberFormat="1" applyFont="1" applyFill="1" applyBorder="1" applyAlignment="1" applyProtection="1">
      <alignment horizontal="center" textRotation="90" wrapText="1"/>
      <protection locked="0"/>
    </xf>
    <xf numFmtId="164" fontId="13" fillId="12" borderId="2" xfId="0" applyNumberFormat="1" applyFont="1" applyFill="1" applyBorder="1" applyAlignment="1">
      <alignment vertical="center"/>
    </xf>
    <xf numFmtId="164" fontId="13" fillId="12" borderId="3" xfId="0" applyNumberFormat="1" applyFont="1" applyFill="1" applyBorder="1"/>
    <xf numFmtId="49" fontId="12" fillId="12" borderId="1" xfId="3" applyNumberFormat="1" applyFont="1" applyFill="1" applyBorder="1" applyAlignment="1" applyProtection="1">
      <alignment horizontal="center" textRotation="90" wrapText="1"/>
      <protection locked="0"/>
    </xf>
    <xf numFmtId="0" fontId="12" fillId="12" borderId="1" xfId="3" applyFont="1" applyFill="1" applyBorder="1" applyAlignment="1" applyProtection="1">
      <alignment horizontal="center" textRotation="90" wrapText="1"/>
      <protection locked="0"/>
    </xf>
    <xf numFmtId="164" fontId="13" fillId="10" borderId="2" xfId="0" applyNumberFormat="1" applyFont="1" applyFill="1" applyBorder="1" applyAlignment="1">
      <alignment vertical="center"/>
    </xf>
    <xf numFmtId="164" fontId="13" fillId="10" borderId="3" xfId="0" applyNumberFormat="1" applyFont="1" applyFill="1" applyBorder="1"/>
    <xf numFmtId="164" fontId="13" fillId="10" borderId="5" xfId="0" applyNumberFormat="1" applyFont="1" applyFill="1" applyBorder="1"/>
    <xf numFmtId="0" fontId="19" fillId="10" borderId="4" xfId="0" applyFont="1" applyFill="1" applyBorder="1" applyAlignment="1">
      <alignment horizontal="center" wrapText="1"/>
    </xf>
    <xf numFmtId="0" fontId="2" fillId="11" borderId="7" xfId="0" applyFont="1" applyFill="1" applyBorder="1" applyAlignment="1">
      <alignment horizontal="center" wrapText="1"/>
    </xf>
    <xf numFmtId="0" fontId="10" fillId="13" borderId="0" xfId="0" applyFont="1" applyFill="1" applyAlignment="1">
      <alignment horizontal="center" vertical="center"/>
    </xf>
    <xf numFmtId="49" fontId="10" fillId="13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21" fillId="5" borderId="1" xfId="5" applyNumberFormat="1" applyFont="1" applyFill="1" applyBorder="1" applyAlignment="1">
      <alignment horizontal="center" wrapText="1"/>
    </xf>
    <xf numFmtId="0" fontId="11" fillId="0" borderId="0" xfId="0" applyFont="1" applyAlignment="1">
      <alignment vertical="center" wrapText="1" readingOrder="1"/>
    </xf>
    <xf numFmtId="0" fontId="18" fillId="0" borderId="0" xfId="0" applyFont="1" applyAlignment="1">
      <alignment readingOrder="1"/>
    </xf>
    <xf numFmtId="0" fontId="18" fillId="0" borderId="0" xfId="0" applyFont="1" applyAlignment="1">
      <alignment vertical="center" wrapText="1" readingOrder="1"/>
    </xf>
    <xf numFmtId="0" fontId="4" fillId="9" borderId="1" xfId="0" applyFont="1" applyFill="1" applyBorder="1" applyAlignment="1">
      <alignment horizontal="center"/>
    </xf>
    <xf numFmtId="1" fontId="4" fillId="5" borderId="7" xfId="1" applyNumberFormat="1" applyFont="1" applyFill="1" applyBorder="1" applyAlignment="1">
      <alignment horizontal="center" textRotation="90" wrapText="1"/>
    </xf>
    <xf numFmtId="0" fontId="10" fillId="13" borderId="0" xfId="0" applyFont="1" applyFill="1" applyAlignment="1">
      <alignment horizontal="left" vertical="center"/>
    </xf>
    <xf numFmtId="164" fontId="4" fillId="5" borderId="7" xfId="1" applyNumberFormat="1" applyFont="1" applyFill="1" applyBorder="1" applyAlignment="1">
      <alignment horizontal="center" wrapText="1"/>
    </xf>
    <xf numFmtId="0" fontId="23" fillId="9" borderId="1" xfId="0" applyFont="1" applyFill="1" applyBorder="1" applyAlignment="1">
      <alignment horizontal="center"/>
    </xf>
    <xf numFmtId="1" fontId="4" fillId="5" borderId="1" xfId="1" applyNumberFormat="1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17" fontId="23" fillId="0" borderId="1" xfId="0" applyNumberFormat="1" applyFont="1" applyBorder="1" applyAlignment="1">
      <alignment horizontal="center" wrapText="1"/>
    </xf>
    <xf numFmtId="0" fontId="23" fillId="0" borderId="1" xfId="1" applyNumberFormat="1" applyFont="1" applyFill="1" applyBorder="1" applyAlignment="1">
      <alignment horizontal="center" wrapText="1"/>
    </xf>
    <xf numFmtId="0" fontId="3" fillId="0" borderId="1" xfId="1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4" fontId="31" fillId="0" borderId="2" xfId="0" applyNumberFormat="1" applyFont="1" applyBorder="1" applyAlignment="1">
      <alignment horizontal="center"/>
    </xf>
    <xf numFmtId="0" fontId="33" fillId="4" borderId="1" xfId="0" applyFont="1" applyFill="1" applyBorder="1" applyAlignment="1">
      <alignment horizontal="center" vertical="center"/>
    </xf>
    <xf numFmtId="0" fontId="31" fillId="0" borderId="1" xfId="0" applyFont="1" applyBorder="1"/>
    <xf numFmtId="14" fontId="34" fillId="15" borderId="1" xfId="0" applyNumberFormat="1" applyFont="1" applyFill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center"/>
    </xf>
    <xf numFmtId="0" fontId="35" fillId="15" borderId="1" xfId="0" applyFont="1" applyFill="1" applyBorder="1" applyAlignment="1">
      <alignment horizontal="center" vertical="center"/>
    </xf>
    <xf numFmtId="44" fontId="34" fillId="15" borderId="1" xfId="1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1" fontId="35" fillId="15" borderId="1" xfId="0" applyNumberFormat="1" applyFont="1" applyFill="1" applyBorder="1" applyAlignment="1">
      <alignment horizontal="center" vertical="center"/>
    </xf>
    <xf numFmtId="44" fontId="35" fillId="15" borderId="1" xfId="1" applyFont="1" applyFill="1" applyBorder="1" applyAlignment="1">
      <alignment horizontal="center" vertical="center"/>
    </xf>
    <xf numFmtId="14" fontId="37" fillId="15" borderId="1" xfId="0" applyNumberFormat="1" applyFont="1" applyFill="1" applyBorder="1" applyAlignment="1">
      <alignment horizontal="center" vertical="center"/>
    </xf>
    <xf numFmtId="0" fontId="37" fillId="15" borderId="1" xfId="0" applyFont="1" applyFill="1" applyBorder="1" applyAlignment="1">
      <alignment horizontal="center" vertical="center"/>
    </xf>
    <xf numFmtId="0" fontId="38" fillId="15" borderId="1" xfId="0" applyFont="1" applyFill="1" applyBorder="1" applyAlignment="1">
      <alignment horizontal="center" vertical="center"/>
    </xf>
    <xf numFmtId="44" fontId="37" fillId="15" borderId="1" xfId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/>
    </xf>
    <xf numFmtId="1" fontId="38" fillId="15" borderId="1" xfId="0" applyNumberFormat="1" applyFont="1" applyFill="1" applyBorder="1" applyAlignment="1">
      <alignment horizontal="center" vertical="center"/>
    </xf>
    <xf numFmtId="44" fontId="38" fillId="15" borderId="1" xfId="1" applyFont="1" applyFill="1" applyBorder="1" applyAlignment="1">
      <alignment horizontal="center" vertical="center"/>
    </xf>
    <xf numFmtId="14" fontId="38" fillId="15" borderId="1" xfId="0" applyNumberFormat="1" applyFont="1" applyFill="1" applyBorder="1" applyAlignment="1">
      <alignment horizontal="center" vertical="center"/>
    </xf>
    <xf numFmtId="0" fontId="40" fillId="0" borderId="1" xfId="0" applyFont="1" applyBorder="1"/>
    <xf numFmtId="14" fontId="31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49" fontId="15" fillId="0" borderId="1" xfId="1" applyNumberFormat="1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1" xfId="28" applyFont="1" applyBorder="1" applyAlignment="1" applyProtection="1">
      <alignment horizontal="center"/>
      <protection locked="0"/>
    </xf>
    <xf numFmtId="0" fontId="41" fillId="0" borderId="1" xfId="29" applyFont="1" applyBorder="1" applyAlignment="1" applyProtection="1">
      <alignment horizontal="center" vertical="center"/>
      <protection locked="0"/>
    </xf>
    <xf numFmtId="0" fontId="41" fillId="0" borderId="1" xfId="29" applyFont="1" applyBorder="1" applyAlignment="1" applyProtection="1">
      <alignment horizontal="left" vertical="center"/>
      <protection locked="0"/>
    </xf>
    <xf numFmtId="49" fontId="41" fillId="0" borderId="1" xfId="29" applyNumberFormat="1" applyFont="1" applyBorder="1" applyAlignment="1" applyProtection="1">
      <alignment horizontal="center" vertical="center"/>
      <protection locked="0"/>
    </xf>
    <xf numFmtId="49" fontId="42" fillId="0" borderId="1" xfId="1" applyNumberFormat="1" applyFont="1" applyFill="1" applyBorder="1" applyAlignment="1" applyProtection="1">
      <alignment horizontal="center" vertical="center"/>
      <protection locked="0"/>
    </xf>
    <xf numFmtId="14" fontId="31" fillId="0" borderId="1" xfId="0" applyNumberFormat="1" applyFont="1" applyBorder="1"/>
    <xf numFmtId="0" fontId="15" fillId="0" borderId="1" xfId="0" applyFont="1" applyBorder="1" applyAlignment="1">
      <alignment horizontal="left"/>
    </xf>
    <xf numFmtId="0" fontId="31" fillId="0" borderId="1" xfId="28" applyFont="1" applyBorder="1" applyAlignment="1" applyProtection="1">
      <alignment horizontal="left"/>
      <protection locked="0"/>
    </xf>
    <xf numFmtId="49" fontId="41" fillId="0" borderId="1" xfId="29" applyNumberFormat="1" applyFont="1" applyBorder="1" applyAlignment="1" applyProtection="1">
      <alignment horizontal="left" vertical="center"/>
      <protection locked="0"/>
    </xf>
    <xf numFmtId="0" fontId="43" fillId="0" borderId="1" xfId="1" applyNumberFormat="1" applyFont="1" applyFill="1" applyBorder="1" applyAlignment="1" applyProtection="1">
      <alignment horizontal="center" vertical="center"/>
      <protection locked="0"/>
    </xf>
    <xf numFmtId="49" fontId="31" fillId="0" borderId="1" xfId="0" applyNumberFormat="1" applyFont="1" applyBorder="1" applyAlignment="1">
      <alignment horizontal="center"/>
    </xf>
    <xf numFmtId="0" fontId="44" fillId="0" borderId="1" xfId="0" applyFont="1" applyBorder="1" applyAlignment="1">
      <alignment horizontal="left" vertical="center" readingOrder="1"/>
    </xf>
    <xf numFmtId="44" fontId="31" fillId="0" borderId="1" xfId="1" applyFont="1" applyBorder="1" applyAlignment="1">
      <alignment horizontal="center"/>
    </xf>
    <xf numFmtId="0" fontId="31" fillId="0" borderId="1" xfId="0" applyFont="1" applyBorder="1" applyAlignment="1">
      <alignment horizontal="left"/>
    </xf>
    <xf numFmtId="0" fontId="39" fillId="0" borderId="1" xfId="0" applyFont="1" applyBorder="1"/>
    <xf numFmtId="49" fontId="37" fillId="1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49" fontId="34" fillId="15" borderId="1" xfId="0" applyNumberFormat="1" applyFont="1" applyFill="1" applyBorder="1" applyAlignment="1">
      <alignment horizontal="center" vertical="center"/>
    </xf>
    <xf numFmtId="49" fontId="31" fillId="0" borderId="1" xfId="27" applyNumberFormat="1" applyFont="1" applyBorder="1" applyAlignment="1" applyProtection="1">
      <alignment horizontal="center"/>
      <protection locked="0"/>
    </xf>
    <xf numFmtId="49" fontId="15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45" fillId="0" borderId="1" xfId="0" applyFont="1" applyBorder="1" applyAlignment="1">
      <alignment horizontal="left"/>
    </xf>
    <xf numFmtId="0" fontId="46" fillId="0" borderId="1" xfId="0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45" fillId="0" borderId="1" xfId="0" applyFont="1" applyBorder="1" applyAlignment="1">
      <alignment wrapText="1"/>
    </xf>
    <xf numFmtId="0" fontId="45" fillId="0" borderId="1" xfId="0" applyFont="1" applyBorder="1"/>
    <xf numFmtId="49" fontId="45" fillId="0" borderId="1" xfId="1" applyNumberFormat="1" applyFont="1" applyFill="1" applyBorder="1" applyAlignment="1">
      <alignment horizontal="center" wrapText="1"/>
    </xf>
    <xf numFmtId="49" fontId="47" fillId="0" borderId="1" xfId="2" applyNumberFormat="1" applyFont="1" applyFill="1" applyBorder="1" applyAlignment="1" applyProtection="1">
      <alignment horizontal="center" wrapText="1"/>
    </xf>
    <xf numFmtId="0" fontId="45" fillId="0" borderId="0" xfId="0" applyFont="1"/>
    <xf numFmtId="49" fontId="48" fillId="16" borderId="1" xfId="1" applyNumberFormat="1" applyFont="1" applyFill="1" applyBorder="1" applyAlignment="1">
      <alignment horizontal="center" wrapText="1"/>
    </xf>
    <xf numFmtId="17" fontId="48" fillId="16" borderId="1" xfId="0" applyNumberFormat="1" applyFont="1" applyFill="1" applyBorder="1" applyAlignment="1">
      <alignment horizontal="center" wrapText="1"/>
    </xf>
    <xf numFmtId="0" fontId="45" fillId="16" borderId="1" xfId="0" applyFont="1" applyFill="1" applyBorder="1" applyAlignment="1">
      <alignment horizontal="center"/>
    </xf>
    <xf numFmtId="167" fontId="45" fillId="16" borderId="1" xfId="0" applyNumberFormat="1" applyFont="1" applyFill="1" applyBorder="1" applyAlignment="1">
      <alignment horizontal="center"/>
    </xf>
    <xf numFmtId="0" fontId="48" fillId="16" borderId="1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45" fillId="16" borderId="1" xfId="0" applyFont="1" applyFill="1" applyBorder="1" applyAlignment="1">
      <alignment wrapText="1"/>
    </xf>
    <xf numFmtId="0" fontId="45" fillId="16" borderId="1" xfId="0" applyFont="1" applyFill="1" applyBorder="1"/>
    <xf numFmtId="165" fontId="45" fillId="16" borderId="1" xfId="1" applyNumberFormat="1" applyFont="1" applyFill="1" applyBorder="1" applyAlignment="1">
      <alignment horizontal="center" wrapText="1"/>
    </xf>
    <xf numFmtId="44" fontId="21" fillId="16" borderId="1" xfId="1" applyFont="1" applyFill="1" applyBorder="1" applyAlignment="1">
      <alignment horizontal="center" wrapText="1"/>
    </xf>
    <xf numFmtId="166" fontId="21" fillId="16" borderId="1" xfId="5" applyNumberFormat="1" applyFont="1" applyFill="1" applyBorder="1" applyAlignment="1">
      <alignment horizontal="center" wrapText="1"/>
    </xf>
    <xf numFmtId="44" fontId="24" fillId="16" borderId="1" xfId="1" applyFont="1" applyFill="1" applyBorder="1" applyAlignment="1">
      <alignment horizontal="center" wrapText="1"/>
    </xf>
    <xf numFmtId="49" fontId="45" fillId="16" borderId="1" xfId="1" applyNumberFormat="1" applyFont="1" applyFill="1" applyBorder="1" applyAlignment="1">
      <alignment horizontal="center" wrapText="1"/>
    </xf>
    <xf numFmtId="49" fontId="45" fillId="16" borderId="1" xfId="0" applyNumberFormat="1" applyFont="1" applyFill="1" applyBorder="1" applyAlignment="1">
      <alignment horizontal="center"/>
    </xf>
    <xf numFmtId="49" fontId="47" fillId="16" borderId="1" xfId="2" applyNumberFormat="1" applyFont="1" applyFill="1" applyBorder="1" applyAlignment="1" applyProtection="1">
      <alignment horizontal="center" wrapText="1"/>
    </xf>
    <xf numFmtId="0" fontId="49" fillId="4" borderId="0" xfId="0" applyFont="1" applyFill="1"/>
    <xf numFmtId="0" fontId="50" fillId="4" borderId="0" xfId="0" applyFont="1" applyFill="1"/>
    <xf numFmtId="1" fontId="10" fillId="13" borderId="0" xfId="0" applyNumberFormat="1" applyFont="1" applyFill="1" applyAlignment="1">
      <alignment horizontal="center" vertical="center"/>
    </xf>
    <xf numFmtId="1" fontId="3" fillId="0" borderId="0" xfId="0" applyNumberFormat="1" applyFont="1"/>
    <xf numFmtId="1" fontId="11" fillId="0" borderId="0" xfId="0" applyNumberFormat="1" applyFont="1" applyAlignment="1">
      <alignment vertical="center" wrapText="1"/>
    </xf>
    <xf numFmtId="1" fontId="4" fillId="7" borderId="7" xfId="0" applyNumberFormat="1" applyFont="1" applyFill="1" applyBorder="1" applyAlignment="1">
      <alignment horizontal="center" wrapText="1"/>
    </xf>
    <xf numFmtId="1" fontId="24" fillId="16" borderId="1" xfId="1" applyNumberFormat="1" applyFont="1" applyFill="1" applyBorder="1" applyAlignment="1">
      <alignment horizontal="center" wrapText="1"/>
    </xf>
    <xf numFmtId="1" fontId="24" fillId="0" borderId="1" xfId="1" applyNumberFormat="1" applyFont="1" applyFill="1" applyBorder="1" applyAlignment="1">
      <alignment horizontal="center" wrapText="1"/>
    </xf>
    <xf numFmtId="1" fontId="7" fillId="0" borderId="0" xfId="0" applyNumberFormat="1" applyFont="1"/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wrapText="1"/>
    </xf>
    <xf numFmtId="0" fontId="4" fillId="9" borderId="13" xfId="0" applyFont="1" applyFill="1" applyBorder="1" applyAlignment="1">
      <alignment horizontal="center" wrapText="1"/>
    </xf>
    <xf numFmtId="0" fontId="4" fillId="9" borderId="14" xfId="0" applyFont="1" applyFill="1" applyBorder="1" applyAlignment="1">
      <alignment horizontal="center" wrapText="1"/>
    </xf>
    <xf numFmtId="0" fontId="25" fillId="11" borderId="12" xfId="0" applyFont="1" applyFill="1" applyBorder="1" applyAlignment="1">
      <alignment horizontal="center" wrapText="1"/>
    </xf>
    <xf numFmtId="0" fontId="25" fillId="11" borderId="13" xfId="0" applyFont="1" applyFill="1" applyBorder="1" applyAlignment="1">
      <alignment horizontal="center" wrapText="1"/>
    </xf>
    <xf numFmtId="0" fontId="25" fillId="11" borderId="14" xfId="0" applyFont="1" applyFill="1" applyBorder="1" applyAlignment="1">
      <alignment horizontal="center" wrapText="1"/>
    </xf>
    <xf numFmtId="1" fontId="4" fillId="5" borderId="9" xfId="1" applyNumberFormat="1" applyFont="1" applyFill="1" applyBorder="1" applyAlignment="1">
      <alignment horizontal="center" vertical="center" wrapText="1"/>
    </xf>
    <xf numFmtId="1" fontId="4" fillId="5" borderId="10" xfId="1" applyNumberFormat="1" applyFont="1" applyFill="1" applyBorder="1" applyAlignment="1">
      <alignment horizontal="center" vertical="center" wrapText="1"/>
    </xf>
    <xf numFmtId="1" fontId="4" fillId="5" borderId="11" xfId="1" applyNumberFormat="1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wrapText="1"/>
    </xf>
    <xf numFmtId="0" fontId="4" fillId="7" borderId="6" xfId="0" applyFont="1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center" vertical="center"/>
    </xf>
    <xf numFmtId="0" fontId="32" fillId="9" borderId="3" xfId="0" applyFont="1" applyFill="1" applyBorder="1" applyAlignment="1">
      <alignment horizontal="center" vertical="center"/>
    </xf>
    <xf numFmtId="0" fontId="32" fillId="14" borderId="2" xfId="0" applyFont="1" applyFill="1" applyBorder="1" applyAlignment="1">
      <alignment horizontal="center" vertical="center"/>
    </xf>
    <xf numFmtId="0" fontId="32" fillId="14" borderId="3" xfId="0" applyFont="1" applyFill="1" applyBorder="1" applyAlignment="1">
      <alignment horizontal="center" vertical="center"/>
    </xf>
    <xf numFmtId="0" fontId="32" fillId="14" borderId="5" xfId="0" applyFont="1" applyFill="1" applyBorder="1" applyAlignment="1">
      <alignment horizontal="center" vertical="center"/>
    </xf>
  </cellXfs>
  <cellStyles count="30">
    <cellStyle name="Currency" xfId="1" builtinId="4"/>
    <cellStyle name="Currency 13" xfId="20" xr:uid="{00000000-0005-0000-0000-000001000000}"/>
    <cellStyle name="Currency 15" xfId="6" xr:uid="{00000000-0005-0000-0000-000002000000}"/>
    <cellStyle name="Currency 2" xfId="7" xr:uid="{00000000-0005-0000-0000-000003000000}"/>
    <cellStyle name="Currency 3" xfId="8" xr:uid="{00000000-0005-0000-0000-000004000000}"/>
    <cellStyle name="Currency 4" xfId="9" xr:uid="{00000000-0005-0000-0000-000005000000}"/>
    <cellStyle name="Currency 5" xfId="10" xr:uid="{00000000-0005-0000-0000-000006000000}"/>
    <cellStyle name="Currency 6" xfId="11" xr:uid="{00000000-0005-0000-0000-000007000000}"/>
    <cellStyle name="Currency 7" xfId="12" xr:uid="{00000000-0005-0000-0000-000008000000}"/>
    <cellStyle name="Hyperlink" xfId="2" builtinId="8"/>
    <cellStyle name="Hyperlink 2" xfId="21" xr:uid="{00000000-0005-0000-0000-00000A000000}"/>
    <cellStyle name="Hyperlink 3" xfId="26" xr:uid="{00000000-0005-0000-0000-00000B000000}"/>
    <cellStyle name="Normal" xfId="0" builtinId="0"/>
    <cellStyle name="Normal 10" xfId="22" xr:uid="{00000000-0005-0000-0000-00000D000000}"/>
    <cellStyle name="Normal 2" xfId="4" xr:uid="{00000000-0005-0000-0000-00000E000000}"/>
    <cellStyle name="Normal 2 2" xfId="23" xr:uid="{00000000-0005-0000-0000-00000F000000}"/>
    <cellStyle name="Normal 21" xfId="13" xr:uid="{00000000-0005-0000-0000-000010000000}"/>
    <cellStyle name="Normal 26" xfId="28" xr:uid="{00000000-0005-0000-0000-000011000000}"/>
    <cellStyle name="Normal 28" xfId="27" xr:uid="{00000000-0005-0000-0000-000012000000}"/>
    <cellStyle name="Normal 3" xfId="14" xr:uid="{00000000-0005-0000-0000-000013000000}"/>
    <cellStyle name="Normal 39" xfId="29" xr:uid="{00000000-0005-0000-0000-000014000000}"/>
    <cellStyle name="Normal 4" xfId="15" xr:uid="{00000000-0005-0000-0000-000015000000}"/>
    <cellStyle name="Normal 5" xfId="16" xr:uid="{00000000-0005-0000-0000-000016000000}"/>
    <cellStyle name="Normal 6" xfId="17" xr:uid="{00000000-0005-0000-0000-000017000000}"/>
    <cellStyle name="Normal 7" xfId="18" xr:uid="{00000000-0005-0000-0000-000018000000}"/>
    <cellStyle name="Normal 8" xfId="19" xr:uid="{00000000-0005-0000-0000-000019000000}"/>
    <cellStyle name="Normal 9" xfId="25" xr:uid="{00000000-0005-0000-0000-00001A000000}"/>
    <cellStyle name="Normal_Sheet1" xfId="3" xr:uid="{00000000-0005-0000-0000-00001B000000}"/>
    <cellStyle name="Percent" xfId="5" builtinId="5"/>
    <cellStyle name="Percent 2" xfId="24" xr:uid="{00000000-0005-0000-0000-00001D000000}"/>
  </cellStyles>
  <dxfs count="26"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457201</xdr:colOff>
      <xdr:row>1</xdr:row>
      <xdr:rowOff>32291</xdr:rowOff>
    </xdr:from>
    <xdr:to>
      <xdr:col>2</xdr:col>
      <xdr:colOff>378364</xdr:colOff>
      <xdr:row>2</xdr:row>
      <xdr:rowOff>97971</xdr:rowOff>
    </xdr:to>
    <xdr:pic>
      <xdr:nvPicPr>
        <xdr:cNvPr id="2" name="Picture 2" descr="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457201" y="250005"/>
          <a:ext cx="1207038" cy="490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733425</xdr:colOff>
      <xdr:row>9</xdr:row>
      <xdr:rowOff>169068</xdr:rowOff>
    </xdr:from>
    <xdr:to>
      <xdr:col>9</xdr:col>
      <xdr:colOff>2725385</xdr:colOff>
      <xdr:row>15</xdr:row>
      <xdr:rowOff>123275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86863" y="2538412"/>
          <a:ext cx="1991960" cy="1165469"/>
        </a:xfrm>
        <a:prstGeom prst="rect">
          <a:avLst/>
        </a:prstGeom>
      </xdr:spPr>
    </xdr:pic>
    <xdr:clientData/>
  </xdr:twoCellAnchor>
  <xdr:twoCellAnchor>
    <xdr:from>
      <xdr:col>11</xdr:col>
      <xdr:colOff>161925</xdr:colOff>
      <xdr:row>13</xdr:row>
      <xdr:rowOff>104775</xdr:rowOff>
    </xdr:from>
    <xdr:to>
      <xdr:col>11</xdr:col>
      <xdr:colOff>561975</xdr:colOff>
      <xdr:row>14</xdr:row>
      <xdr:rowOff>83344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rot="10800000">
          <a:off x="11687175" y="3686175"/>
          <a:ext cx="400050" cy="178594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6</xdr:row>
          <xdr:rowOff>205740</xdr:rowOff>
        </xdr:from>
        <xdr:to>
          <xdr:col>0</xdr:col>
          <xdr:colOff>411480</xdr:colOff>
          <xdr:row>8</xdr:row>
          <xdr:rowOff>76200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7</xdr:row>
          <xdr:rowOff>205740</xdr:rowOff>
        </xdr:from>
        <xdr:to>
          <xdr:col>0</xdr:col>
          <xdr:colOff>411480</xdr:colOff>
          <xdr:row>9</xdr:row>
          <xdr:rowOff>91440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10</xdr:row>
          <xdr:rowOff>152400</xdr:rowOff>
        </xdr:from>
        <xdr:to>
          <xdr:col>0</xdr:col>
          <xdr:colOff>411480</xdr:colOff>
          <xdr:row>12</xdr:row>
          <xdr:rowOff>53340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12</xdr:row>
          <xdr:rowOff>152400</xdr:rowOff>
        </xdr:from>
        <xdr:to>
          <xdr:col>0</xdr:col>
          <xdr:colOff>411480</xdr:colOff>
          <xdr:row>14</xdr:row>
          <xdr:rowOff>53340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9</xdr:row>
          <xdr:rowOff>167640</xdr:rowOff>
        </xdr:from>
        <xdr:to>
          <xdr:col>0</xdr:col>
          <xdr:colOff>411480</xdr:colOff>
          <xdr:row>11</xdr:row>
          <xdr:rowOff>76200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1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9</xdr:row>
          <xdr:rowOff>0</xdr:rowOff>
        </xdr:from>
        <xdr:to>
          <xdr:col>0</xdr:col>
          <xdr:colOff>411480</xdr:colOff>
          <xdr:row>10</xdr:row>
          <xdr:rowOff>106680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106680</xdr:colOff>
          <xdr:row>11</xdr:row>
          <xdr:rowOff>144780</xdr:rowOff>
        </xdr:from>
        <xdr:to>
          <xdr:col>0</xdr:col>
          <xdr:colOff>411480</xdr:colOff>
          <xdr:row>13</xdr:row>
          <xdr:rowOff>38100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1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1724024</xdr:colOff>
      <xdr:row>10</xdr:row>
      <xdr:rowOff>133351</xdr:rowOff>
    </xdr:from>
    <xdr:to>
      <xdr:col>9</xdr:col>
      <xdr:colOff>819155</xdr:colOff>
      <xdr:row>25</xdr:row>
      <xdr:rowOff>87032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276724" y="2705101"/>
          <a:ext cx="5172081" cy="4487581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3600" baseline="0"/>
        </a:p>
        <a:p>
          <a:pPr algn="ctr"/>
          <a:r>
            <a:rPr lang="en-US" sz="2400" b="1" baseline="0">
              <a:solidFill>
                <a:srgbClr val="FFFF00"/>
              </a:solidFill>
            </a:rPr>
            <a:t>Please be sure you are submitting the correct UPC for all new items! Any incorrectly submitted UPCs may be subject to a fine of one case/sku/store additional free fill or up to $10,000 a SKU. </a:t>
          </a:r>
        </a:p>
        <a:p>
          <a:pPr algn="ctr"/>
          <a:endParaRPr lang="en-US" sz="2400" baseline="0"/>
        </a:p>
        <a:p>
          <a:pPr algn="ctr"/>
          <a:r>
            <a:rPr lang="en-US" sz="2400" baseline="0"/>
            <a:t>*You can delete this text box after reading. </a:t>
          </a:r>
          <a:endParaRPr lang="en-US" sz="2400"/>
        </a:p>
      </xdr:txBody>
    </xdr:sp>
    <xdr:clientData/>
  </xdr:twoCellAnchor>
  <xdr:twoCellAnchor>
    <xdr:from>
      <xdr:col>2</xdr:col>
      <xdr:colOff>40481</xdr:colOff>
      <xdr:row>17</xdr:row>
      <xdr:rowOff>66675</xdr:rowOff>
    </xdr:from>
    <xdr:to>
      <xdr:col>3</xdr:col>
      <xdr:colOff>666750</xdr:colOff>
      <xdr:row>17</xdr:row>
      <xdr:rowOff>552450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288256" y="4143375"/>
          <a:ext cx="1940719" cy="485775"/>
        </a:xfrm>
        <a:prstGeom prst="wedgeRectCallout">
          <a:avLst>
            <a:gd name="adj1" fmla="val -23873"/>
            <a:gd name="adj2" fmla="val 199391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/>
            <a:t>Choose</a:t>
          </a:r>
          <a:r>
            <a:rPr lang="en-US" sz="1200" baseline="0"/>
            <a:t> from the </a:t>
          </a:r>
          <a:r>
            <a:rPr lang="en-US" sz="1200" b="1" baseline="0"/>
            <a:t>Family</a:t>
          </a:r>
          <a:r>
            <a:rPr lang="en-US" sz="1200" baseline="0"/>
            <a:t> drop-down menu first. </a:t>
          </a:r>
          <a:endParaRPr lang="en-US" sz="1200"/>
        </a:p>
      </xdr:txBody>
    </xdr:sp>
    <xdr:clientData/>
  </xdr:twoCellAnchor>
  <xdr:twoCellAnchor>
    <xdr:from>
      <xdr:col>2</xdr:col>
      <xdr:colOff>1152525</xdr:colOff>
      <xdr:row>17</xdr:row>
      <xdr:rowOff>533400</xdr:rowOff>
    </xdr:from>
    <xdr:to>
      <xdr:col>3</xdr:col>
      <xdr:colOff>1704975</xdr:colOff>
      <xdr:row>17</xdr:row>
      <xdr:rowOff>1047750</xdr:rowOff>
    </xdr:to>
    <xdr:sp macro="" textlink="">
      <xdr:nvSpPr>
        <xdr:cNvPr id="14" name="Rectangular Callou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400300" y="4610100"/>
          <a:ext cx="1866900" cy="514350"/>
        </a:xfrm>
        <a:prstGeom prst="wedgeRectCallout">
          <a:avLst>
            <a:gd name="adj1" fmla="val 13935"/>
            <a:gd name="adj2" fmla="val 87365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en-US" sz="1200" baseline="0"/>
            <a:t>Then choose from the </a:t>
          </a:r>
          <a:r>
            <a:rPr lang="en-US" sz="1200" b="1" baseline="0"/>
            <a:t>Category</a:t>
          </a:r>
          <a:r>
            <a:rPr lang="en-US" sz="1200" baseline="0"/>
            <a:t> drop-down menu</a:t>
          </a:r>
          <a:endParaRPr lang="en-US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313647</xdr:colOff>
      <xdr:row>0</xdr:row>
      <xdr:rowOff>152034</xdr:rowOff>
    </xdr:from>
    <xdr:to>
      <xdr:col>2</xdr:col>
      <xdr:colOff>605518</xdr:colOff>
      <xdr:row>3</xdr:row>
      <xdr:rowOff>61596</xdr:rowOff>
    </xdr:to>
    <xdr:pic>
      <xdr:nvPicPr>
        <xdr:cNvPr id="2" name="Picture 2" descr="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13647" y="152034"/>
          <a:ext cx="1841384" cy="766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389877</xdr:colOff>
      <xdr:row>49</xdr:row>
      <xdr:rowOff>104774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7305027" cy="9439274"/>
        </a:xfrm>
        <a:prstGeom prst="rect">
          <a:avLst/>
        </a:prstGeom>
      </xdr:spPr>
    </xdr:pic>
    <xdr:clientData/>
  </xdr:twoCellAnchor>
  <xdr:twoCellAnchor editAs="oneCell">
    <xdr:from>
      <xdr:col>12</xdr:col>
      <xdr:colOff>380999</xdr:colOff>
      <xdr:row>0</xdr:row>
      <xdr:rowOff>0</xdr:rowOff>
    </xdr:from>
    <xdr:to>
      <xdr:col>25</xdr:col>
      <xdr:colOff>164886</xdr:colOff>
      <xdr:row>51</xdr:row>
      <xdr:rowOff>47624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48" t="1295" r="29900" b="2840"/>
        <a:stretch/>
      </xdr:blipFill>
      <xdr:spPr>
        <a:xfrm>
          <a:off x="7296149" y="0"/>
          <a:ext cx="7708687" cy="97631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1:J19" totalsRowShown="0" headerRowDxfId="25" dataDxfId="24">
  <autoFilter ref="A1:J19" xr:uid="{00000000-0009-0000-0100-000005000000}"/>
  <tableColumns count="10">
    <tableColumn id="1" xr3:uid="{00000000-0010-0000-0000-000001000000}" name="Family" dataDxfId="23"/>
    <tableColumn id="6" xr3:uid="{00000000-0010-0000-0000-000006000000}" name="Baking" dataDxfId="22"/>
    <tableColumn id="7" xr3:uid="{00000000-0010-0000-0000-000007000000}" name="Beverage" dataDxfId="21"/>
    <tableColumn id="17" xr3:uid="{00000000-0010-0000-0000-000011000000}" name="Breakfast" dataDxfId="20"/>
    <tableColumn id="15" xr3:uid="{00000000-0010-0000-0000-00000F000000}" name="Bulk" dataDxfId="19"/>
    <tableColumn id="11" xr3:uid="{00000000-0010-0000-0000-00000B000000}" name="Candy_Snacks" dataDxfId="18"/>
    <tableColumn id="12" xr3:uid="{00000000-0010-0000-0000-00000C000000}" name="Dairy" dataDxfId="17"/>
    <tableColumn id="2" xr3:uid="{00000000-0010-0000-0000-000002000000}" name="Essentials" dataDxfId="16"/>
    <tableColumn id="13" xr3:uid="{00000000-0010-0000-0000-00000D000000}" name="Frozen" dataDxfId="15"/>
    <tableColumn id="10" xr3:uid="{00000000-0010-0000-0000-00000A000000}" name="Meals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Barr.Bulk@Barco.com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Barr.Bulk@Barco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"/>
  <sheetViews>
    <sheetView topLeftCell="B1" workbookViewId="0">
      <selection activeCell="C41" sqref="C41"/>
    </sheetView>
  </sheetViews>
  <sheetFormatPr defaultColWidth="9.21875" defaultRowHeight="14.4" x14ac:dyDescent="0.3"/>
  <cols>
    <col min="1" max="1" width="15" style="34" hidden="1" customWidth="1"/>
    <col min="2" max="2" width="36.44140625" bestFit="1" customWidth="1"/>
    <col min="3" max="3" width="26.44140625" bestFit="1" customWidth="1"/>
    <col min="4" max="4" width="26.44140625" customWidth="1"/>
    <col min="5" max="5" width="30.21875" style="34" customWidth="1"/>
    <col min="6" max="6" width="30.21875" style="34" bestFit="1" customWidth="1"/>
    <col min="7" max="7" width="30.21875" style="34" customWidth="1"/>
    <col min="8" max="8" width="32.5546875" bestFit="1" customWidth="1"/>
    <col min="9" max="9" width="34.21875" style="34" bestFit="1" customWidth="1"/>
    <col min="10" max="10" width="35" style="34" customWidth="1"/>
    <col min="14" max="14" width="35" style="34" customWidth="1"/>
    <col min="15" max="15" width="26.44140625" style="34" customWidth="1"/>
    <col min="16" max="16" width="30.21875" style="34" bestFit="1" customWidth="1"/>
    <col min="17" max="16384" width="9.21875" style="34"/>
  </cols>
  <sheetData>
    <row r="1" spans="1:13" s="157" customFormat="1" x14ac:dyDescent="0.3">
      <c r="A1" s="157" t="s">
        <v>24</v>
      </c>
      <c r="B1" s="157" t="s">
        <v>149</v>
      </c>
      <c r="C1" s="157" t="s">
        <v>151</v>
      </c>
      <c r="D1" s="157" t="s">
        <v>152</v>
      </c>
      <c r="E1" s="157" t="s">
        <v>161</v>
      </c>
      <c r="F1" s="157" t="s">
        <v>162</v>
      </c>
      <c r="G1" s="157" t="s">
        <v>159</v>
      </c>
      <c r="H1" s="157" t="s">
        <v>148</v>
      </c>
      <c r="I1" s="157" t="s">
        <v>160</v>
      </c>
      <c r="J1" s="157" t="s">
        <v>158</v>
      </c>
    </row>
    <row r="2" spans="1:13" x14ac:dyDescent="0.3">
      <c r="A2" s="34" t="s">
        <v>159</v>
      </c>
      <c r="B2" s="34" t="s">
        <v>186</v>
      </c>
      <c r="C2" s="34" t="s">
        <v>189</v>
      </c>
      <c r="D2" s="34" t="s">
        <v>171</v>
      </c>
      <c r="E2" s="34" t="s">
        <v>168</v>
      </c>
      <c r="F2" s="34" t="s">
        <v>42</v>
      </c>
      <c r="G2" s="34" t="s">
        <v>44</v>
      </c>
      <c r="H2" s="34" t="s">
        <v>163</v>
      </c>
      <c r="I2" s="34" t="s">
        <v>184</v>
      </c>
      <c r="J2" s="34" t="s">
        <v>202</v>
      </c>
      <c r="K2" s="34"/>
      <c r="L2" s="34"/>
      <c r="M2" s="34"/>
    </row>
    <row r="3" spans="1:13" x14ac:dyDescent="0.3">
      <c r="A3" s="34" t="s">
        <v>160</v>
      </c>
      <c r="B3" s="34" t="s">
        <v>150</v>
      </c>
      <c r="C3" s="34" t="s">
        <v>190</v>
      </c>
      <c r="D3" s="34" t="s">
        <v>172</v>
      </c>
      <c r="E3" s="34" t="s">
        <v>149</v>
      </c>
      <c r="F3" s="34" t="s">
        <v>45</v>
      </c>
      <c r="G3" s="34" t="s">
        <v>144</v>
      </c>
      <c r="H3" s="34" t="s">
        <v>164</v>
      </c>
      <c r="I3" s="34" t="s">
        <v>152</v>
      </c>
      <c r="J3" s="34" t="s">
        <v>44</v>
      </c>
      <c r="K3" s="34"/>
      <c r="L3" s="34"/>
      <c r="M3" s="34"/>
    </row>
    <row r="4" spans="1:13" x14ac:dyDescent="0.3">
      <c r="A4" s="34" t="s">
        <v>161</v>
      </c>
      <c r="B4" s="34" t="s">
        <v>187</v>
      </c>
      <c r="C4" s="34" t="s">
        <v>191</v>
      </c>
      <c r="D4" s="34" t="s">
        <v>92</v>
      </c>
      <c r="E4" s="34" t="s">
        <v>170</v>
      </c>
      <c r="F4" s="34" t="s">
        <v>199</v>
      </c>
      <c r="G4" s="34" t="s">
        <v>147</v>
      </c>
      <c r="H4" s="34" t="s">
        <v>165</v>
      </c>
      <c r="I4" s="34" t="s">
        <v>144</v>
      </c>
      <c r="J4" s="34" t="s">
        <v>203</v>
      </c>
      <c r="K4" s="34"/>
      <c r="L4" s="34"/>
      <c r="M4" s="34"/>
    </row>
    <row r="5" spans="1:13" x14ac:dyDescent="0.3">
      <c r="A5" s="34" t="s">
        <v>148</v>
      </c>
      <c r="B5" s="34" t="s">
        <v>188</v>
      </c>
      <c r="C5" s="34" t="s">
        <v>192</v>
      </c>
      <c r="D5" s="34" t="s">
        <v>196</v>
      </c>
      <c r="E5" s="34" t="s">
        <v>42</v>
      </c>
      <c r="F5" s="34" t="s">
        <v>200</v>
      </c>
      <c r="G5" s="34" t="s">
        <v>46</v>
      </c>
      <c r="H5" s="34" t="s">
        <v>166</v>
      </c>
      <c r="I5" s="34" t="s">
        <v>154</v>
      </c>
      <c r="J5" s="34" t="s">
        <v>211</v>
      </c>
      <c r="K5" s="34"/>
      <c r="L5" s="34"/>
      <c r="M5" s="34"/>
    </row>
    <row r="6" spans="1:13" x14ac:dyDescent="0.3">
      <c r="A6" s="34" t="s">
        <v>149</v>
      </c>
      <c r="B6" s="34" t="s">
        <v>50</v>
      </c>
      <c r="C6" s="34" t="s">
        <v>193</v>
      </c>
      <c r="D6" s="34" t="s">
        <v>197</v>
      </c>
      <c r="E6" s="34" t="s">
        <v>171</v>
      </c>
      <c r="F6" s="34" t="s">
        <v>174</v>
      </c>
      <c r="G6" s="34" t="s">
        <v>146</v>
      </c>
      <c r="H6" s="34" t="s">
        <v>167</v>
      </c>
      <c r="I6" s="34" t="s">
        <v>185</v>
      </c>
      <c r="J6" s="34" t="s">
        <v>48</v>
      </c>
      <c r="K6" s="34"/>
      <c r="L6" s="34"/>
      <c r="M6" s="34"/>
    </row>
    <row r="7" spans="1:13" x14ac:dyDescent="0.3">
      <c r="A7" s="34" t="s">
        <v>151</v>
      </c>
      <c r="B7" s="34" t="s">
        <v>210</v>
      </c>
      <c r="C7" s="34" t="s">
        <v>194</v>
      </c>
      <c r="D7" s="34" t="s">
        <v>198</v>
      </c>
      <c r="E7" s="34" t="s">
        <v>172</v>
      </c>
      <c r="F7" s="34" t="s">
        <v>178</v>
      </c>
      <c r="G7" s="34" t="s">
        <v>145</v>
      </c>
      <c r="H7" s="34"/>
      <c r="I7" s="34" t="s">
        <v>155</v>
      </c>
      <c r="J7" s="34" t="s">
        <v>204</v>
      </c>
      <c r="K7" s="34"/>
      <c r="L7" s="34"/>
      <c r="M7" s="34"/>
    </row>
    <row r="8" spans="1:13" x14ac:dyDescent="0.3">
      <c r="A8" s="34" t="s">
        <v>152</v>
      </c>
      <c r="B8" s="34"/>
      <c r="C8" s="34" t="s">
        <v>195</v>
      </c>
      <c r="D8" s="34"/>
      <c r="E8" s="34" t="s">
        <v>173</v>
      </c>
      <c r="F8" s="34" t="s">
        <v>201</v>
      </c>
      <c r="G8" s="34" t="s">
        <v>208</v>
      </c>
      <c r="H8" s="34"/>
      <c r="I8" s="34" t="s">
        <v>209</v>
      </c>
      <c r="J8" s="34" t="s">
        <v>205</v>
      </c>
      <c r="K8" s="34"/>
      <c r="L8" s="34"/>
      <c r="M8" s="34"/>
    </row>
    <row r="9" spans="1:13" x14ac:dyDescent="0.3">
      <c r="A9" s="34" t="s">
        <v>162</v>
      </c>
      <c r="B9" s="34"/>
      <c r="C9" s="34" t="s">
        <v>53</v>
      </c>
      <c r="D9" s="34"/>
      <c r="E9" s="34" t="s">
        <v>174</v>
      </c>
      <c r="G9" s="34" t="s">
        <v>176</v>
      </c>
      <c r="H9" s="34"/>
      <c r="I9" s="34" t="s">
        <v>156</v>
      </c>
      <c r="J9" s="34" t="s">
        <v>49</v>
      </c>
      <c r="K9" s="34"/>
      <c r="L9" s="34"/>
      <c r="M9" s="34"/>
    </row>
    <row r="10" spans="1:13" x14ac:dyDescent="0.3">
      <c r="A10" s="34" t="s">
        <v>158</v>
      </c>
      <c r="B10" s="34"/>
      <c r="C10" s="34"/>
      <c r="D10" s="34"/>
      <c r="E10" s="34" t="s">
        <v>175</v>
      </c>
      <c r="G10" s="34" t="s">
        <v>47</v>
      </c>
      <c r="H10" s="34"/>
      <c r="I10" s="34" t="s">
        <v>180</v>
      </c>
      <c r="J10" s="34" t="s">
        <v>206</v>
      </c>
      <c r="K10" s="34"/>
      <c r="L10" s="34"/>
      <c r="M10" s="34"/>
    </row>
    <row r="11" spans="1:13" x14ac:dyDescent="0.3">
      <c r="B11" s="34"/>
      <c r="C11" s="34"/>
      <c r="D11" s="34"/>
      <c r="E11" s="34" t="s">
        <v>153</v>
      </c>
      <c r="G11" s="34" t="s">
        <v>177</v>
      </c>
      <c r="H11" s="34"/>
      <c r="I11" s="34" t="s">
        <v>157</v>
      </c>
      <c r="J11" s="34" t="s">
        <v>51</v>
      </c>
      <c r="K11" s="34"/>
      <c r="L11" s="34"/>
      <c r="M11" s="34"/>
    </row>
    <row r="12" spans="1:13" x14ac:dyDescent="0.3">
      <c r="B12" s="34"/>
      <c r="C12" s="34"/>
      <c r="D12" s="34"/>
      <c r="E12" s="34" t="s">
        <v>169</v>
      </c>
      <c r="G12" s="34" t="s">
        <v>179</v>
      </c>
      <c r="H12" s="34"/>
      <c r="J12" s="34" t="s">
        <v>212</v>
      </c>
      <c r="K12" s="34"/>
      <c r="L12" s="34"/>
      <c r="M12" s="34"/>
    </row>
    <row r="13" spans="1:13" x14ac:dyDescent="0.3">
      <c r="B13" s="34"/>
      <c r="C13" s="34"/>
      <c r="D13" s="34"/>
      <c r="G13" s="34" t="s">
        <v>207</v>
      </c>
      <c r="H13" s="34"/>
      <c r="J13" s="34" t="s">
        <v>52</v>
      </c>
      <c r="K13" s="34"/>
      <c r="L13" s="34"/>
      <c r="M13" s="34"/>
    </row>
    <row r="14" spans="1:13" x14ac:dyDescent="0.3">
      <c r="B14" s="34"/>
      <c r="C14" s="34"/>
      <c r="D14" s="34"/>
      <c r="G14" s="34" t="s">
        <v>180</v>
      </c>
      <c r="H14" s="34"/>
      <c r="K14" s="34"/>
      <c r="L14" s="34"/>
      <c r="M14" s="34"/>
    </row>
    <row r="15" spans="1:13" x14ac:dyDescent="0.3">
      <c r="B15" s="34"/>
      <c r="C15" s="34"/>
      <c r="D15" s="34"/>
      <c r="G15" s="34" t="s">
        <v>181</v>
      </c>
      <c r="H15" s="34"/>
      <c r="K15" s="34"/>
      <c r="L15" s="34"/>
      <c r="M15" s="34"/>
    </row>
    <row r="16" spans="1:13" x14ac:dyDescent="0.3">
      <c r="B16" s="34"/>
      <c r="C16" s="34"/>
      <c r="D16" s="34"/>
      <c r="G16" s="34" t="s">
        <v>182</v>
      </c>
      <c r="H16" s="34"/>
      <c r="K16" s="34"/>
      <c r="L16" s="34"/>
      <c r="M16" s="34"/>
    </row>
    <row r="17" spans="7:7" s="34" customFormat="1" x14ac:dyDescent="0.3">
      <c r="G17" s="34" t="s">
        <v>183</v>
      </c>
    </row>
    <row r="18" spans="7:7" s="158" customFormat="1" x14ac:dyDescent="0.3">
      <c r="G18" s="158" t="s">
        <v>54</v>
      </c>
    </row>
    <row r="19" spans="7:7" s="158" customFormat="1" x14ac:dyDescent="0.3"/>
    <row r="20" spans="7:7" s="158" customFormat="1" x14ac:dyDescent="0.3"/>
    <row r="21" spans="7:7" s="158" customFormat="1" x14ac:dyDescent="0.3"/>
    <row r="22" spans="7:7" s="158" customFormat="1" x14ac:dyDescent="0.3"/>
    <row r="23" spans="7:7" s="158" customFormat="1" x14ac:dyDescent="0.3"/>
    <row r="24" spans="7:7" s="158" customFormat="1" x14ac:dyDescent="0.3"/>
    <row r="25" spans="7:7" s="158" customFormat="1" x14ac:dyDescent="0.3"/>
    <row r="26" spans="7:7" s="158" customFormat="1" x14ac:dyDescent="0.3"/>
    <row r="27" spans="7:7" s="158" customFormat="1" x14ac:dyDescent="0.3"/>
    <row r="28" spans="7:7" s="158" customFormat="1" x14ac:dyDescent="0.3"/>
    <row r="29" spans="7:7" s="158" customFormat="1" x14ac:dyDescent="0.3"/>
    <row r="30" spans="7:7" s="158" customFormat="1" x14ac:dyDescent="0.3"/>
    <row r="31" spans="7:7" s="158" customFormat="1" x14ac:dyDescent="0.3"/>
    <row r="32" spans="7:7" s="158" customFormat="1" x14ac:dyDescent="0.3"/>
    <row r="33" s="158" customFormat="1" x14ac:dyDescent="0.3"/>
    <row r="34" s="158" customFormat="1" x14ac:dyDescent="0.3"/>
    <row r="35" s="158" customFormat="1" x14ac:dyDescent="0.3"/>
    <row r="36" s="158" customFormat="1" x14ac:dyDescent="0.3"/>
    <row r="37" s="158" customFormat="1" x14ac:dyDescent="0.3"/>
    <row r="38" s="158" customFormat="1" x14ac:dyDescent="0.3"/>
    <row r="39" s="158" customFormat="1" x14ac:dyDescent="0.3"/>
    <row r="40" s="158" customFormat="1" x14ac:dyDescent="0.3"/>
    <row r="41" s="158" customFormat="1" x14ac:dyDescent="0.3"/>
    <row r="42" s="158" customFormat="1" x14ac:dyDescent="0.3"/>
    <row r="43" s="158" customFormat="1" x14ac:dyDescent="0.3"/>
    <row r="44" s="158" customFormat="1" x14ac:dyDescent="0.3"/>
    <row r="45" s="158" customFormat="1" x14ac:dyDescent="0.3"/>
    <row r="46" s="158" customFormat="1" x14ac:dyDescent="0.3"/>
    <row r="47" s="158" customFormat="1" x14ac:dyDescent="0.3"/>
    <row r="48" s="158" customFormat="1" x14ac:dyDescent="0.3"/>
    <row r="49" s="158" customFormat="1" x14ac:dyDescent="0.3"/>
    <row r="50" s="158" customFormat="1" x14ac:dyDescent="0.3"/>
    <row r="51" s="158" customFormat="1" x14ac:dyDescent="0.3"/>
    <row r="52" s="158" customFormat="1" x14ac:dyDescent="0.3"/>
    <row r="53" s="158" customFormat="1" x14ac:dyDescent="0.3"/>
    <row r="54" s="158" customFormat="1" x14ac:dyDescent="0.3"/>
    <row r="55" s="158" customFormat="1" x14ac:dyDescent="0.3"/>
    <row r="56" s="158" customFormat="1" x14ac:dyDescent="0.3"/>
    <row r="57" s="158" customFormat="1" x14ac:dyDescent="0.3"/>
    <row r="58" s="158" customFormat="1" x14ac:dyDescent="0.3"/>
    <row r="59" s="158" customFormat="1" x14ac:dyDescent="0.3"/>
    <row r="60" s="158" customFormat="1" x14ac:dyDescent="0.3"/>
    <row r="61" s="158" customFormat="1" x14ac:dyDescent="0.3"/>
    <row r="62" s="158" customFormat="1" x14ac:dyDescent="0.3"/>
    <row r="63" s="158" customFormat="1" x14ac:dyDescent="0.3"/>
    <row r="64" s="158" customFormat="1" x14ac:dyDescent="0.3"/>
    <row r="65" s="158" customFormat="1" x14ac:dyDescent="0.3"/>
    <row r="66" s="158" customFormat="1" x14ac:dyDescent="0.3"/>
    <row r="67" s="158" customFormat="1" x14ac:dyDescent="0.3"/>
    <row r="68" s="158" customFormat="1" x14ac:dyDescent="0.3"/>
    <row r="69" s="158" customFormat="1" x14ac:dyDescent="0.3"/>
    <row r="70" s="158" customFormat="1" x14ac:dyDescent="0.3"/>
    <row r="71" s="158" customFormat="1" x14ac:dyDescent="0.3"/>
    <row r="72" s="158" customFormat="1" x14ac:dyDescent="0.3"/>
    <row r="73" s="158" customFormat="1" x14ac:dyDescent="0.3"/>
    <row r="74" s="158" customFormat="1" x14ac:dyDescent="0.3"/>
    <row r="75" s="158" customFormat="1" x14ac:dyDescent="0.3"/>
    <row r="76" s="158" customFormat="1" x14ac:dyDescent="0.3"/>
    <row r="77" s="158" customFormat="1" x14ac:dyDescent="0.3"/>
    <row r="78" s="158" customFormat="1" x14ac:dyDescent="0.3"/>
    <row r="79" s="158" customFormat="1" x14ac:dyDescent="0.3"/>
    <row r="80" s="158" customFormat="1" x14ac:dyDescent="0.3"/>
    <row r="81" s="158" customFormat="1" x14ac:dyDescent="0.3"/>
    <row r="82" s="158" customFormat="1" x14ac:dyDescent="0.3"/>
    <row r="83" s="158" customFormat="1" x14ac:dyDescent="0.3"/>
    <row r="84" s="158" customFormat="1" x14ac:dyDescent="0.3"/>
    <row r="85" s="158" customFormat="1" x14ac:dyDescent="0.3"/>
    <row r="86" s="158" customFormat="1" x14ac:dyDescent="0.3"/>
    <row r="87" s="158" customFormat="1" x14ac:dyDescent="0.3"/>
    <row r="88" s="158" customFormat="1" x14ac:dyDescent="0.3"/>
    <row r="89" s="158" customFormat="1" x14ac:dyDescent="0.3"/>
    <row r="90" s="158" customFormat="1" x14ac:dyDescent="0.3"/>
    <row r="91" s="158" customFormat="1" x14ac:dyDescent="0.3"/>
    <row r="92" s="158" customFormat="1" x14ac:dyDescent="0.3"/>
    <row r="93" s="158" customFormat="1" x14ac:dyDescent="0.3"/>
    <row r="94" s="158" customFormat="1" x14ac:dyDescent="0.3"/>
    <row r="95" s="158" customFormat="1" x14ac:dyDescent="0.3"/>
    <row r="96" s="158" customFormat="1" x14ac:dyDescent="0.3"/>
    <row r="97" s="158" customFormat="1" x14ac:dyDescent="0.3"/>
    <row r="98" s="158" customFormat="1" x14ac:dyDescent="0.3"/>
    <row r="99" s="158" customFormat="1" x14ac:dyDescent="0.3"/>
    <row r="100" s="158" customFormat="1" x14ac:dyDescent="0.3"/>
    <row r="101" s="158" customFormat="1" x14ac:dyDescent="0.3"/>
    <row r="102" s="158" customFormat="1" x14ac:dyDescent="0.3"/>
    <row r="103" s="158" customFormat="1" x14ac:dyDescent="0.3"/>
    <row r="104" s="158" customFormat="1" x14ac:dyDescent="0.3"/>
    <row r="105" s="158" customFormat="1" x14ac:dyDescent="0.3"/>
    <row r="106" s="158" customFormat="1" x14ac:dyDescent="0.3"/>
    <row r="107" s="158" customFormat="1" x14ac:dyDescent="0.3"/>
    <row r="108" s="158" customFormat="1" x14ac:dyDescent="0.3"/>
    <row r="109" s="158" customFormat="1" x14ac:dyDescent="0.3"/>
    <row r="110" s="158" customFormat="1" x14ac:dyDescent="0.3"/>
    <row r="111" s="158" customFormat="1" x14ac:dyDescent="0.3"/>
    <row r="112" s="158" customFormat="1" x14ac:dyDescent="0.3"/>
    <row r="113" s="158" customFormat="1" x14ac:dyDescent="0.3"/>
    <row r="114" s="158" customFormat="1" x14ac:dyDescent="0.3"/>
    <row r="115" s="158" customFormat="1" x14ac:dyDescent="0.3"/>
    <row r="116" s="158" customFormat="1" x14ac:dyDescent="0.3"/>
    <row r="117" s="158" customFormat="1" x14ac:dyDescent="0.3"/>
    <row r="118" s="158" customFormat="1" x14ac:dyDescent="0.3"/>
    <row r="119" s="158" customFormat="1" x14ac:dyDescent="0.3"/>
    <row r="120" s="158" customFormat="1" x14ac:dyDescent="0.3"/>
    <row r="121" s="158" customFormat="1" x14ac:dyDescent="0.3"/>
    <row r="122" s="158" customFormat="1" x14ac:dyDescent="0.3"/>
    <row r="123" s="158" customFormat="1" x14ac:dyDescent="0.3"/>
    <row r="124" s="158" customFormat="1" x14ac:dyDescent="0.3"/>
    <row r="125" s="158" customFormat="1" x14ac:dyDescent="0.3"/>
    <row r="126" s="158" customFormat="1" x14ac:dyDescent="0.3"/>
    <row r="127" s="158" customFormat="1" x14ac:dyDescent="0.3"/>
    <row r="128" s="158" customFormat="1" x14ac:dyDescent="0.3"/>
    <row r="129" s="158" customFormat="1" x14ac:dyDescent="0.3"/>
    <row r="130" s="158" customFormat="1" x14ac:dyDescent="0.3"/>
    <row r="131" s="158" customFormat="1" x14ac:dyDescent="0.3"/>
    <row r="132" s="158" customFormat="1" x14ac:dyDescent="0.3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BI122"/>
  <sheetViews>
    <sheetView showGridLines="0" tabSelected="1" topLeftCell="A7" zoomScale="80" zoomScaleNormal="80" workbookViewId="0">
      <selection activeCell="Q21" sqref="Q21"/>
    </sheetView>
  </sheetViews>
  <sheetFormatPr defaultColWidth="9.21875" defaultRowHeight="15.6" outlineLevelCol="1" x14ac:dyDescent="0.3"/>
  <cols>
    <col min="1" max="2" width="9.21875" style="8" customWidth="1"/>
    <col min="3" max="3" width="19.77734375" style="8" customWidth="1"/>
    <col min="4" max="4" width="26" style="8" customWidth="1"/>
    <col min="5" max="5" width="16.44140625" style="8" customWidth="1"/>
    <col min="6" max="6" width="8.21875" style="8" customWidth="1"/>
    <col min="7" max="7" width="10.77734375" style="8" customWidth="1"/>
    <col min="8" max="8" width="14.44140625" style="8" customWidth="1"/>
    <col min="9" max="9" width="15.21875" style="8" customWidth="1"/>
    <col min="10" max="10" width="42.77734375" style="8" customWidth="1"/>
    <col min="11" max="11" width="6.77734375" style="8" customWidth="1"/>
    <col min="12" max="12" width="8" style="8" customWidth="1"/>
    <col min="13" max="13" width="7.77734375" style="8" customWidth="1"/>
    <col min="14" max="14" width="12.77734375" style="8" customWidth="1"/>
    <col min="15" max="15" width="12.21875" style="8" customWidth="1"/>
    <col min="16" max="16" width="12.21875" style="8" bestFit="1" customWidth="1"/>
    <col min="17" max="17" width="9.21875" style="8" customWidth="1"/>
    <col min="18" max="18" width="9.21875" style="8" bestFit="1" customWidth="1"/>
    <col min="19" max="19" width="14.77734375" style="8" customWidth="1"/>
    <col min="20" max="20" width="11.21875" style="165" customWidth="1"/>
    <col min="21" max="21" width="10.77734375" style="8" customWidth="1"/>
    <col min="22" max="22" width="14.44140625" style="8" customWidth="1" outlineLevel="1"/>
    <col min="23" max="23" width="11.44140625" style="8" customWidth="1" outlineLevel="1"/>
    <col min="24" max="24" width="13.44140625" style="8" customWidth="1" outlineLevel="1"/>
    <col min="25" max="25" width="14.77734375" style="8" customWidth="1" outlineLevel="1"/>
    <col min="26" max="26" width="14.44140625" style="8" customWidth="1" outlineLevel="1"/>
    <col min="27" max="27" width="16" style="8" customWidth="1" outlineLevel="1"/>
    <col min="28" max="28" width="15.21875" style="8" customWidth="1" outlineLevel="1"/>
    <col min="29" max="29" width="17.77734375" style="8" customWidth="1" outlineLevel="1"/>
    <col min="30" max="30" width="14" style="8" customWidth="1" outlineLevel="1"/>
    <col min="31" max="31" width="17.77734375" style="8" customWidth="1" outlineLevel="1"/>
    <col min="32" max="32" width="14.44140625" style="8" customWidth="1"/>
    <col min="33" max="33" width="14.77734375" style="8" customWidth="1"/>
    <col min="34" max="34" width="9" style="8" customWidth="1"/>
    <col min="35" max="35" width="7.44140625" style="8" customWidth="1"/>
    <col min="36" max="41" width="7.21875" style="8" customWidth="1"/>
    <col min="42" max="42" width="8.44140625" style="8" customWidth="1"/>
    <col min="43" max="44" width="7.77734375" style="8" customWidth="1"/>
    <col min="45" max="45" width="4.77734375" style="8" customWidth="1"/>
    <col min="46" max="49" width="3.77734375" style="8" customWidth="1"/>
    <col min="50" max="52" width="6.77734375" style="8" customWidth="1"/>
    <col min="53" max="53" width="27" style="8" bestFit="1" customWidth="1"/>
    <col min="54" max="56" width="7.44140625" style="8" customWidth="1"/>
    <col min="57" max="57" width="4.44140625" style="8" customWidth="1"/>
    <col min="58" max="58" width="21.77734375" style="8" customWidth="1"/>
    <col min="59" max="59" width="21.44140625" style="8" customWidth="1"/>
    <col min="60" max="60" width="24.77734375" style="8" customWidth="1"/>
    <col min="61" max="61" width="16.21875" style="8" customWidth="1"/>
  </cols>
  <sheetData>
    <row r="1" spans="1:50" ht="17.25" customHeight="1" x14ac:dyDescent="0.3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15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</row>
    <row r="2" spans="1:50" ht="33.75" customHeight="1" x14ac:dyDescent="0.3">
      <c r="A2" s="69"/>
      <c r="B2" s="69"/>
      <c r="C2" s="69"/>
      <c r="D2" s="78" t="s">
        <v>213</v>
      </c>
      <c r="E2" s="69"/>
      <c r="F2" s="69"/>
      <c r="G2" s="69"/>
      <c r="H2" s="69"/>
      <c r="I2" s="69"/>
      <c r="J2" s="69"/>
      <c r="K2" s="69"/>
      <c r="L2" s="70"/>
      <c r="M2" s="69"/>
      <c r="N2" s="69"/>
      <c r="O2" s="69"/>
      <c r="P2" s="69"/>
      <c r="Q2" s="69"/>
      <c r="R2" s="69"/>
      <c r="S2" s="69"/>
      <c r="T2" s="15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0" ht="17.25" customHeight="1" x14ac:dyDescent="0.3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15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</row>
    <row r="4" spans="1:50" ht="17.25" customHeight="1" thickBot="1" x14ac:dyDescent="0.35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15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2"/>
      <c r="AR4" s="2"/>
      <c r="AS4" s="2"/>
      <c r="AT4" s="2"/>
      <c r="AU4" s="2"/>
      <c r="AV4" s="2"/>
      <c r="AW4" s="2"/>
      <c r="AX4" s="2"/>
    </row>
    <row r="5" spans="1:50" ht="34.200000000000003" customHeight="1" thickBot="1" x14ac:dyDescent="0.35">
      <c r="A5" s="166" t="s">
        <v>84</v>
      </c>
      <c r="B5" s="167"/>
      <c r="C5" s="167"/>
      <c r="D5" s="167"/>
      <c r="E5" s="168"/>
      <c r="F5" s="6"/>
      <c r="G5" s="6"/>
      <c r="H5" s="6"/>
      <c r="I5" s="6"/>
      <c r="J5" s="7"/>
      <c r="K5" s="9"/>
      <c r="L5" s="1"/>
      <c r="M5" s="1"/>
      <c r="N5" s="2"/>
      <c r="O5" s="2"/>
      <c r="P5" s="2"/>
      <c r="Q5" s="9"/>
      <c r="R5" s="2"/>
      <c r="S5" s="2"/>
      <c r="T5" s="160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1:50" ht="19.5" customHeight="1" x14ac:dyDescent="0.3">
      <c r="A6" s="169"/>
      <c r="B6" s="170"/>
      <c r="C6" s="170"/>
      <c r="D6" s="170"/>
      <c r="E6" s="171"/>
      <c r="F6" s="22"/>
      <c r="G6" s="22"/>
      <c r="H6" s="22"/>
      <c r="I6" s="22"/>
      <c r="J6" s="22"/>
      <c r="K6" s="22"/>
      <c r="L6" s="22"/>
      <c r="M6" s="22"/>
      <c r="N6" s="73"/>
      <c r="O6" s="181" t="s">
        <v>78</v>
      </c>
      <c r="P6" s="22"/>
      <c r="Q6" s="22"/>
      <c r="R6" s="19"/>
      <c r="S6" s="22"/>
      <c r="T6" s="161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19"/>
      <c r="AQ6" s="13"/>
      <c r="AR6" s="13"/>
      <c r="AT6" s="13"/>
      <c r="AU6" s="13"/>
    </row>
    <row r="7" spans="1:50" ht="16.2" thickBot="1" x14ac:dyDescent="0.35">
      <c r="A7" s="172"/>
      <c r="B7" s="173"/>
      <c r="C7" s="173"/>
      <c r="D7" s="173"/>
      <c r="E7" s="174"/>
      <c r="F7" s="22"/>
      <c r="G7" s="22"/>
      <c r="H7" s="22"/>
      <c r="I7" s="22"/>
      <c r="J7" s="22"/>
      <c r="K7" s="22"/>
      <c r="L7" s="22"/>
      <c r="M7" s="22"/>
      <c r="N7" s="74" t="s">
        <v>22</v>
      </c>
      <c r="O7" s="182"/>
      <c r="P7" s="22"/>
      <c r="Q7" s="22"/>
      <c r="R7" s="19"/>
      <c r="S7" s="22"/>
      <c r="T7" s="161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19"/>
      <c r="AQ7" s="13"/>
      <c r="AR7" s="13"/>
      <c r="AS7" s="11"/>
      <c r="AT7" s="13"/>
      <c r="AU7" s="13"/>
      <c r="AV7" s="11"/>
      <c r="AW7" s="11"/>
      <c r="AX7" s="11"/>
    </row>
    <row r="8" spans="1:50" x14ac:dyDescent="0.3">
      <c r="B8" s="29" t="s">
        <v>81</v>
      </c>
      <c r="C8" s="29"/>
      <c r="D8" s="22"/>
      <c r="F8" s="22"/>
      <c r="G8" s="22"/>
      <c r="H8" s="22"/>
      <c r="I8" s="22"/>
      <c r="J8" s="22"/>
      <c r="K8" s="22"/>
      <c r="L8" s="22"/>
      <c r="M8" s="22"/>
      <c r="N8" s="75">
        <v>60</v>
      </c>
      <c r="O8" s="182"/>
      <c r="P8" s="22"/>
      <c r="Q8" s="22"/>
      <c r="R8" s="19"/>
      <c r="S8" s="22"/>
      <c r="T8" s="161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19"/>
      <c r="AQ8" s="13"/>
      <c r="AR8" s="13"/>
      <c r="AT8" s="13"/>
      <c r="AU8" s="13"/>
    </row>
    <row r="9" spans="1:50" x14ac:dyDescent="0.3">
      <c r="B9" s="29" t="s">
        <v>107</v>
      </c>
      <c r="C9" s="29"/>
      <c r="D9" s="22"/>
      <c r="F9" s="22"/>
      <c r="G9" s="22"/>
      <c r="H9" s="22"/>
      <c r="I9" s="22"/>
      <c r="J9" s="22"/>
      <c r="K9" s="22"/>
      <c r="L9" s="22"/>
      <c r="M9" s="22"/>
      <c r="N9" s="75">
        <v>90</v>
      </c>
      <c r="O9" s="182"/>
      <c r="P9" s="22"/>
      <c r="Q9" s="22"/>
      <c r="R9" s="19"/>
      <c r="S9" s="22"/>
      <c r="T9" s="161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19"/>
      <c r="AQ9" s="13"/>
      <c r="AR9" s="13"/>
      <c r="AT9" s="13"/>
      <c r="AU9" s="13"/>
    </row>
    <row r="10" spans="1:50" x14ac:dyDescent="0.3">
      <c r="B10" s="29" t="s">
        <v>102</v>
      </c>
      <c r="C10" s="29"/>
      <c r="D10" s="24"/>
      <c r="F10" s="22"/>
      <c r="G10" s="22"/>
      <c r="H10" s="22"/>
      <c r="I10" s="22"/>
      <c r="J10" s="22"/>
      <c r="K10" s="22"/>
      <c r="L10" s="22"/>
      <c r="M10" s="22"/>
      <c r="N10" s="28"/>
      <c r="O10" s="182"/>
      <c r="P10" s="22"/>
      <c r="Q10" s="22"/>
      <c r="R10" s="19"/>
      <c r="S10" s="22"/>
      <c r="T10" s="161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19"/>
      <c r="AQ10" s="13"/>
      <c r="AR10" s="13"/>
      <c r="AT10" s="13"/>
      <c r="AU10" s="13"/>
    </row>
    <row r="11" spans="1:50" x14ac:dyDescent="0.3">
      <c r="B11" s="29" t="s">
        <v>103</v>
      </c>
      <c r="C11" s="29"/>
      <c r="D11" s="24"/>
      <c r="F11" s="22"/>
      <c r="G11" s="22"/>
      <c r="H11" s="22"/>
      <c r="I11" s="22"/>
      <c r="J11" s="22"/>
      <c r="K11" s="22"/>
      <c r="L11" s="22"/>
      <c r="M11" s="22"/>
      <c r="N11" s="28"/>
      <c r="O11" s="182"/>
      <c r="P11" s="22"/>
      <c r="Q11" s="22"/>
      <c r="R11" s="19"/>
      <c r="S11" s="22"/>
      <c r="T11" s="161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19"/>
      <c r="AQ11" s="13"/>
      <c r="AR11" s="13"/>
      <c r="AT11" s="13"/>
      <c r="AU11" s="13"/>
    </row>
    <row r="12" spans="1:50" ht="15.75" customHeight="1" x14ac:dyDescent="0.3">
      <c r="B12" s="82" t="s">
        <v>106</v>
      </c>
      <c r="C12" s="29"/>
      <c r="D12" s="22"/>
      <c r="F12" s="22"/>
      <c r="G12" s="22"/>
      <c r="H12" s="22"/>
      <c r="I12" s="22"/>
      <c r="J12" s="22"/>
      <c r="K12" s="22"/>
      <c r="L12" s="22"/>
      <c r="M12" s="22"/>
      <c r="N12" s="22"/>
      <c r="O12" s="182"/>
      <c r="P12" s="22"/>
      <c r="Q12" s="22"/>
      <c r="R12" s="19"/>
      <c r="S12" s="22"/>
      <c r="T12" s="161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19"/>
    </row>
    <row r="13" spans="1:50" ht="15.75" customHeight="1" x14ac:dyDescent="0.3">
      <c r="B13" s="29" t="s">
        <v>83</v>
      </c>
      <c r="C13" s="29"/>
      <c r="D13" s="22"/>
      <c r="F13" s="22"/>
      <c r="G13" s="22"/>
      <c r="H13" s="22"/>
      <c r="I13" s="22"/>
      <c r="J13" s="22"/>
      <c r="K13" s="22"/>
      <c r="L13" s="71" t="s">
        <v>93</v>
      </c>
      <c r="M13" s="22"/>
      <c r="O13" s="182"/>
      <c r="P13" s="22"/>
      <c r="Q13" s="22"/>
      <c r="R13" s="19"/>
      <c r="S13" s="22"/>
      <c r="T13" s="161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19"/>
    </row>
    <row r="14" spans="1:50" ht="15.75" customHeight="1" x14ac:dyDescent="0.3">
      <c r="B14" s="29" t="s">
        <v>82</v>
      </c>
      <c r="C14" s="29"/>
      <c r="D14" s="22"/>
      <c r="F14" s="22"/>
      <c r="G14" s="22"/>
      <c r="H14" s="22"/>
      <c r="I14" s="22"/>
      <c r="J14" s="22"/>
      <c r="K14" s="22"/>
      <c r="L14" s="22"/>
      <c r="M14" s="22"/>
      <c r="N14" s="22"/>
      <c r="O14" s="182"/>
      <c r="P14" s="22"/>
      <c r="Q14" s="22"/>
      <c r="R14" s="19"/>
      <c r="S14" s="22"/>
      <c r="T14" s="161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19"/>
    </row>
    <row r="15" spans="1:50" ht="15.75" customHeight="1" x14ac:dyDescent="0.3">
      <c r="A15" s="22"/>
      <c r="B15" s="22"/>
      <c r="C15" s="2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82"/>
      <c r="P15" s="22"/>
      <c r="Q15" s="22"/>
      <c r="R15" s="19"/>
      <c r="S15" s="184" t="s">
        <v>97</v>
      </c>
      <c r="T15" s="184"/>
      <c r="U15" s="184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19"/>
    </row>
    <row r="16" spans="1:50" ht="15.75" customHeight="1" thickBot="1" x14ac:dyDescent="0.35">
      <c r="A16" s="14"/>
      <c r="B16" s="14"/>
      <c r="C16" s="25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83"/>
      <c r="P16" s="14"/>
      <c r="Q16" s="14"/>
      <c r="R16" s="14"/>
      <c r="S16" s="184"/>
      <c r="T16" s="184"/>
      <c r="U16" s="184"/>
      <c r="V16"/>
      <c r="W16"/>
      <c r="X16"/>
      <c r="Y16"/>
      <c r="Z16"/>
      <c r="AA16"/>
      <c r="AB16"/>
      <c r="AC16"/>
      <c r="AD16"/>
      <c r="AE16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</row>
    <row r="17" spans="1:61" ht="24" customHeight="1" thickBot="1" x14ac:dyDescent="0.45">
      <c r="A17" s="9"/>
      <c r="C17" s="4"/>
      <c r="D17" s="4"/>
      <c r="E17" s="175" t="s">
        <v>99</v>
      </c>
      <c r="F17" s="176"/>
      <c r="G17" s="177"/>
      <c r="H17" s="5"/>
      <c r="I17" s="5"/>
      <c r="J17" s="6"/>
      <c r="K17" s="10"/>
      <c r="L17" s="7"/>
      <c r="M17" s="1"/>
      <c r="O17" s="48">
        <v>0.08</v>
      </c>
      <c r="P17" s="9"/>
      <c r="Q17" s="9"/>
      <c r="S17" s="185"/>
      <c r="T17" s="185"/>
      <c r="U17" s="185"/>
      <c r="V17" s="50" t="s">
        <v>67</v>
      </c>
      <c r="W17" s="51"/>
      <c r="X17" s="51"/>
      <c r="Y17" s="50" t="s">
        <v>68</v>
      </c>
      <c r="Z17" s="51"/>
      <c r="AA17" s="51"/>
      <c r="AB17" s="51"/>
      <c r="AC17" s="51"/>
      <c r="AD17" s="51"/>
      <c r="AE17" s="51"/>
      <c r="AH17" s="178" t="s">
        <v>105</v>
      </c>
      <c r="AI17" s="179"/>
      <c r="AJ17" s="179"/>
      <c r="AK17" s="179"/>
      <c r="AL17" s="179"/>
      <c r="AM17" s="180"/>
      <c r="AN17" s="22"/>
      <c r="AP17" s="60" t="s">
        <v>15</v>
      </c>
      <c r="AQ17" s="61"/>
      <c r="AR17" s="61"/>
      <c r="AS17" s="61"/>
      <c r="AT17" s="61"/>
      <c r="AU17" s="61"/>
      <c r="AV17" s="61"/>
      <c r="AW17" s="61"/>
      <c r="AX17" s="57" t="s">
        <v>33</v>
      </c>
      <c r="AY17" s="58"/>
      <c r="AZ17" s="58"/>
      <c r="BA17" s="58"/>
      <c r="BB17" s="58"/>
      <c r="BC17" s="58"/>
      <c r="BD17" s="58"/>
      <c r="BE17" s="58"/>
      <c r="BF17" s="64" t="s">
        <v>41</v>
      </c>
      <c r="BG17" s="65"/>
      <c r="BH17" s="65"/>
      <c r="BI17" s="66"/>
    </row>
    <row r="18" spans="1:61" ht="113.25" customHeight="1" thickBot="1" x14ac:dyDescent="0.35">
      <c r="A18" s="56" t="s">
        <v>23</v>
      </c>
      <c r="B18" s="56" t="s">
        <v>80</v>
      </c>
      <c r="C18" s="56" t="s">
        <v>24</v>
      </c>
      <c r="D18" s="53" t="s">
        <v>4</v>
      </c>
      <c r="E18" s="79" t="s">
        <v>101</v>
      </c>
      <c r="F18" s="79" t="s">
        <v>20</v>
      </c>
      <c r="G18" s="77" t="s">
        <v>55</v>
      </c>
      <c r="H18" s="37" t="s">
        <v>98</v>
      </c>
      <c r="I18" s="53" t="s">
        <v>0</v>
      </c>
      <c r="J18" s="53" t="s">
        <v>1</v>
      </c>
      <c r="K18" s="55" t="s">
        <v>13</v>
      </c>
      <c r="L18" s="54" t="s">
        <v>14</v>
      </c>
      <c r="M18" s="55" t="s">
        <v>100</v>
      </c>
      <c r="N18" s="56" t="s">
        <v>36</v>
      </c>
      <c r="O18" s="47" t="s">
        <v>77</v>
      </c>
      <c r="P18" s="37" t="s">
        <v>104</v>
      </c>
      <c r="Q18" s="54" t="s">
        <v>3</v>
      </c>
      <c r="R18" s="81" t="s">
        <v>17</v>
      </c>
      <c r="S18" s="52" t="s">
        <v>94</v>
      </c>
      <c r="T18" s="162" t="s">
        <v>95</v>
      </c>
      <c r="U18" s="52" t="s">
        <v>71</v>
      </c>
      <c r="V18" s="52" t="s">
        <v>69</v>
      </c>
      <c r="W18" s="52" t="s">
        <v>70</v>
      </c>
      <c r="X18" s="52" t="s">
        <v>71</v>
      </c>
      <c r="Y18" s="52" t="s">
        <v>69</v>
      </c>
      <c r="Z18" s="52" t="s">
        <v>72</v>
      </c>
      <c r="AA18" s="52" t="s">
        <v>73</v>
      </c>
      <c r="AB18" s="52" t="s">
        <v>74</v>
      </c>
      <c r="AC18" s="52" t="s">
        <v>75</v>
      </c>
      <c r="AD18" s="52" t="s">
        <v>76</v>
      </c>
      <c r="AE18" s="52" t="s">
        <v>71</v>
      </c>
      <c r="AF18" s="56" t="s">
        <v>96</v>
      </c>
      <c r="AG18" s="56" t="s">
        <v>34</v>
      </c>
      <c r="AH18" s="68" t="s">
        <v>85</v>
      </c>
      <c r="AI18" s="68" t="s">
        <v>86</v>
      </c>
      <c r="AJ18" s="68" t="s">
        <v>89</v>
      </c>
      <c r="AK18" s="68" t="s">
        <v>88</v>
      </c>
      <c r="AL18" s="68" t="s">
        <v>87</v>
      </c>
      <c r="AM18" s="68" t="s">
        <v>90</v>
      </c>
      <c r="AN18" s="56" t="s">
        <v>65</v>
      </c>
      <c r="AO18" s="56" t="s">
        <v>79</v>
      </c>
      <c r="AP18" s="62" t="s">
        <v>7</v>
      </c>
      <c r="AQ18" s="62" t="s">
        <v>8</v>
      </c>
      <c r="AR18" s="62" t="s">
        <v>9</v>
      </c>
      <c r="AS18" s="62" t="s">
        <v>5</v>
      </c>
      <c r="AT18" s="63" t="s">
        <v>6</v>
      </c>
      <c r="AU18" s="62" t="s">
        <v>10</v>
      </c>
      <c r="AV18" s="62" t="s">
        <v>11</v>
      </c>
      <c r="AW18" s="62" t="s">
        <v>12</v>
      </c>
      <c r="AX18" s="59" t="s">
        <v>26</v>
      </c>
      <c r="AY18" s="59" t="s">
        <v>27</v>
      </c>
      <c r="AZ18" s="59" t="s">
        <v>28</v>
      </c>
      <c r="BA18" s="59" t="s">
        <v>29</v>
      </c>
      <c r="BB18" s="59" t="s">
        <v>30</v>
      </c>
      <c r="BC18" s="59" t="s">
        <v>31</v>
      </c>
      <c r="BD18" s="59" t="s">
        <v>32</v>
      </c>
      <c r="BE18" s="59" t="s">
        <v>25</v>
      </c>
      <c r="BF18" s="67" t="s">
        <v>37</v>
      </c>
      <c r="BG18" s="67" t="s">
        <v>38</v>
      </c>
      <c r="BH18" s="67" t="s">
        <v>39</v>
      </c>
      <c r="BI18" s="67" t="s">
        <v>40</v>
      </c>
    </row>
    <row r="19" spans="1:61" x14ac:dyDescent="0.3">
      <c r="A19" s="142" t="s">
        <v>22</v>
      </c>
      <c r="B19" s="143">
        <v>44013</v>
      </c>
      <c r="C19" s="144" t="s">
        <v>152</v>
      </c>
      <c r="D19" s="144" t="s">
        <v>43</v>
      </c>
      <c r="E19" s="145">
        <v>1234567891</v>
      </c>
      <c r="F19" s="146">
        <v>2</v>
      </c>
      <c r="G19" s="147" t="b">
        <f>IF(F19="","",MOD(10-MOD(SUMPRODUCT(--(MID(RIGHT("00000000000"&amp;E19,11),{1,3,5,7,9,11},1)))*3+SUMPRODUCT(--(MID(RIGHT("00000000000"&amp;E19,11),{2,4,6,8,10},1))),10),10)=F19)</f>
        <v>1</v>
      </c>
      <c r="H19" s="147">
        <f>E19*(IF(E19,G19))</f>
        <v>1234567891</v>
      </c>
      <c r="I19" s="148" t="s">
        <v>136</v>
      </c>
      <c r="J19" s="149" t="s">
        <v>137</v>
      </c>
      <c r="K19" s="142" t="s">
        <v>109</v>
      </c>
      <c r="L19" s="142" t="s">
        <v>139</v>
      </c>
      <c r="M19" s="146" t="s">
        <v>18</v>
      </c>
      <c r="N19" s="150">
        <v>15</v>
      </c>
      <c r="O19" s="151">
        <f>IF(N19="","",(O$17*N19)+N19)</f>
        <v>16.2</v>
      </c>
      <c r="P19" s="151">
        <f>IF(O19="","",SUM(O19/K19))</f>
        <v>4.05</v>
      </c>
      <c r="Q19" s="150">
        <v>6.99</v>
      </c>
      <c r="R19" s="152">
        <f t="shared" ref="R19:R82" si="0">IF(N19="","",(Q19-P19)/Q19)</f>
        <v>0.42060085836909877</v>
      </c>
      <c r="S19" s="153" t="s">
        <v>108</v>
      </c>
      <c r="T19" s="163"/>
      <c r="U19" s="153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 t="s">
        <v>91</v>
      </c>
      <c r="AI19" s="154" t="s">
        <v>66</v>
      </c>
      <c r="AJ19" s="154" t="s">
        <v>91</v>
      </c>
      <c r="AK19" s="154" t="s">
        <v>91</v>
      </c>
      <c r="AL19" s="154" t="s">
        <v>91</v>
      </c>
      <c r="AM19" s="154" t="s">
        <v>91</v>
      </c>
      <c r="AN19" s="154"/>
      <c r="AO19" s="144"/>
      <c r="AP19" s="154" t="s">
        <v>139</v>
      </c>
      <c r="AQ19" s="154" t="s">
        <v>139</v>
      </c>
      <c r="AR19" s="154" t="s">
        <v>139</v>
      </c>
      <c r="AS19" s="154" t="s">
        <v>19</v>
      </c>
      <c r="AT19" s="154"/>
      <c r="AU19" s="154"/>
      <c r="AV19" s="154"/>
      <c r="AW19" s="154"/>
      <c r="AX19" s="155" t="s">
        <v>134</v>
      </c>
      <c r="AY19" s="155" t="s">
        <v>134</v>
      </c>
      <c r="AZ19" s="155" t="s">
        <v>111</v>
      </c>
      <c r="BA19" s="155" t="s">
        <v>110</v>
      </c>
      <c r="BB19" s="155" t="s">
        <v>112</v>
      </c>
      <c r="BC19" s="155">
        <v>5</v>
      </c>
      <c r="BD19" s="144">
        <v>1520</v>
      </c>
      <c r="BE19" s="155"/>
      <c r="BF19" s="154" t="s">
        <v>136</v>
      </c>
      <c r="BG19" s="154" t="s">
        <v>140</v>
      </c>
      <c r="BH19" s="156" t="s">
        <v>141</v>
      </c>
      <c r="BI19" s="154" t="s">
        <v>142</v>
      </c>
    </row>
    <row r="20" spans="1:61" x14ac:dyDescent="0.3">
      <c r="A20" s="40"/>
      <c r="B20" s="83"/>
      <c r="C20" s="15"/>
      <c r="D20" s="15"/>
      <c r="E20" s="49"/>
      <c r="F20" s="80"/>
      <c r="G20" s="76" t="str">
        <f>IF(F20="","",MOD(10-MOD(SUMPRODUCT(--(MID(RIGHT("00000000000"&amp;E20,11),{1,3,5,7,9,11},1)))*3+SUMPRODUCT(--(MID(RIGHT("00000000000"&amp;E20,11),{2,4,6,8,10},1))),10),10)=F20)</f>
        <v/>
      </c>
      <c r="H20" s="76">
        <f t="shared" ref="H20:H83" si="1">E20*(IF(E20,G20))</f>
        <v>0</v>
      </c>
      <c r="I20" s="17"/>
      <c r="J20" s="42"/>
      <c r="K20" s="40"/>
      <c r="L20" s="40"/>
      <c r="M20" s="39"/>
      <c r="N20" s="21"/>
      <c r="O20" s="46" t="str">
        <f t="shared" ref="O20:O83" si="2">IF(N20="","",(O$17*N20)+N20)</f>
        <v/>
      </c>
      <c r="P20" s="46" t="str">
        <f t="shared" ref="P20:P83" si="3">IF(O20="","",SUM(O20/K20))</f>
        <v/>
      </c>
      <c r="Q20" s="21"/>
      <c r="R20" s="72" t="str">
        <f t="shared" si="0"/>
        <v/>
      </c>
      <c r="S20" s="41"/>
      <c r="T20" s="164"/>
      <c r="U20" s="41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5"/>
      <c r="AP20" s="12"/>
      <c r="AQ20" s="12"/>
      <c r="AR20" s="12"/>
      <c r="AS20" s="12"/>
      <c r="AT20" s="12"/>
      <c r="AU20" s="12"/>
      <c r="AV20" s="12"/>
      <c r="AW20" s="12"/>
      <c r="AX20" s="35"/>
      <c r="AY20" s="35"/>
      <c r="AZ20" s="35"/>
      <c r="BA20" s="35"/>
      <c r="BB20" s="35"/>
      <c r="BC20" s="35"/>
      <c r="BD20" s="15"/>
      <c r="BE20" s="35"/>
      <c r="BF20" s="12"/>
      <c r="BG20" s="12"/>
      <c r="BH20" s="43"/>
      <c r="BI20" s="12"/>
    </row>
    <row r="21" spans="1:61" x14ac:dyDescent="0.3">
      <c r="A21" s="40"/>
      <c r="B21" s="83"/>
      <c r="C21" s="15"/>
      <c r="D21" s="15"/>
      <c r="E21" s="49"/>
      <c r="F21" s="80"/>
      <c r="G21" s="76" t="str">
        <f>IF(F21="","",MOD(10-MOD(SUMPRODUCT(--(MID(RIGHT("00000000000"&amp;E21,11),{1,3,5,7,9,11},1)))*3+SUMPRODUCT(--(MID(RIGHT("00000000000"&amp;E21,11),{2,4,6,8,10},1))),10),10)=F21)</f>
        <v/>
      </c>
      <c r="H21" s="76">
        <f t="shared" si="1"/>
        <v>0</v>
      </c>
      <c r="I21" s="17"/>
      <c r="J21" s="42"/>
      <c r="K21" s="40"/>
      <c r="L21" s="40"/>
      <c r="M21" s="39"/>
      <c r="N21" s="21"/>
      <c r="O21" s="46" t="str">
        <f t="shared" si="2"/>
        <v/>
      </c>
      <c r="P21" s="46" t="str">
        <f t="shared" si="3"/>
        <v/>
      </c>
      <c r="Q21" s="21"/>
      <c r="R21" s="72" t="str">
        <f t="shared" si="0"/>
        <v/>
      </c>
      <c r="S21" s="41"/>
      <c r="T21" s="164"/>
      <c r="U21" s="41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5"/>
      <c r="AP21" s="12"/>
      <c r="AQ21" s="12"/>
      <c r="AR21" s="12"/>
      <c r="AS21" s="12"/>
      <c r="AT21" s="12"/>
      <c r="AU21" s="12"/>
      <c r="AV21" s="12"/>
      <c r="AW21" s="12"/>
      <c r="AX21" s="35"/>
      <c r="AY21" s="35"/>
      <c r="AZ21" s="35"/>
      <c r="BA21" s="35"/>
      <c r="BB21" s="35"/>
      <c r="BC21" s="35"/>
      <c r="BD21" s="15"/>
      <c r="BE21" s="35"/>
      <c r="BF21" s="12"/>
      <c r="BG21" s="12"/>
      <c r="BH21" s="43"/>
      <c r="BI21" s="12"/>
    </row>
    <row r="22" spans="1:61" x14ac:dyDescent="0.3">
      <c r="A22" s="40"/>
      <c r="B22" s="83"/>
      <c r="C22" s="15"/>
      <c r="D22" s="15"/>
      <c r="E22" s="49"/>
      <c r="F22" s="80"/>
      <c r="G22" s="76" t="str">
        <f>IF(F22="","",MOD(10-MOD(SUMPRODUCT(--(MID(RIGHT("00000000000"&amp;E22,11),{1,3,5,7,9,11},1)))*3+SUMPRODUCT(--(MID(RIGHT("00000000000"&amp;E22,11),{2,4,6,8,10},1))),10),10)=F22)</f>
        <v/>
      </c>
      <c r="H22" s="76">
        <f t="shared" si="1"/>
        <v>0</v>
      </c>
      <c r="I22" s="17"/>
      <c r="J22" s="42"/>
      <c r="K22" s="40"/>
      <c r="L22" s="40"/>
      <c r="M22" s="39"/>
      <c r="N22" s="21"/>
      <c r="O22" s="46" t="str">
        <f t="shared" si="2"/>
        <v/>
      </c>
      <c r="P22" s="46" t="str">
        <f t="shared" si="3"/>
        <v/>
      </c>
      <c r="Q22" s="21"/>
      <c r="R22" s="72" t="str">
        <f t="shared" si="0"/>
        <v/>
      </c>
      <c r="S22" s="41"/>
      <c r="T22" s="164"/>
      <c r="U22" s="41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5"/>
      <c r="AP22" s="12"/>
      <c r="AQ22" s="12"/>
      <c r="AR22" s="12"/>
      <c r="AS22" s="12"/>
      <c r="AT22" s="12"/>
      <c r="AU22" s="12"/>
      <c r="AV22" s="12"/>
      <c r="AW22" s="12"/>
      <c r="AX22" s="35"/>
      <c r="AY22" s="35"/>
      <c r="AZ22" s="35"/>
      <c r="BA22" s="35"/>
      <c r="BB22" s="35"/>
      <c r="BC22" s="35"/>
      <c r="BD22" s="15"/>
      <c r="BE22" s="35"/>
      <c r="BF22" s="12"/>
      <c r="BG22" s="12"/>
      <c r="BH22" s="43"/>
      <c r="BI22" s="12"/>
    </row>
    <row r="23" spans="1:61" x14ac:dyDescent="0.3">
      <c r="A23" s="40"/>
      <c r="B23" s="83"/>
      <c r="C23" s="15"/>
      <c r="D23" s="15"/>
      <c r="E23" s="49"/>
      <c r="F23" s="80"/>
      <c r="G23" s="76" t="str">
        <f>IF(F23="","",MOD(10-MOD(SUMPRODUCT(--(MID(RIGHT("00000000000"&amp;E23,11),{1,3,5,7,9,11},1)))*3+SUMPRODUCT(--(MID(RIGHT("00000000000"&amp;E23,11),{2,4,6,8,10},1))),10),10)=F23)</f>
        <v/>
      </c>
      <c r="H23" s="76">
        <f t="shared" si="1"/>
        <v>0</v>
      </c>
      <c r="I23" s="17"/>
      <c r="J23" s="42"/>
      <c r="K23" s="40"/>
      <c r="L23" s="40"/>
      <c r="M23" s="39"/>
      <c r="N23" s="20"/>
      <c r="O23" s="46" t="str">
        <f t="shared" si="2"/>
        <v/>
      </c>
      <c r="P23" s="46" t="str">
        <f t="shared" si="3"/>
        <v/>
      </c>
      <c r="Q23" s="21"/>
      <c r="R23" s="72" t="str">
        <f t="shared" si="0"/>
        <v/>
      </c>
      <c r="S23" s="41"/>
      <c r="T23" s="164"/>
      <c r="U23" s="41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5"/>
      <c r="AP23" s="12"/>
      <c r="AQ23" s="12"/>
      <c r="AR23" s="12"/>
      <c r="AS23" s="12"/>
      <c r="AT23" s="12"/>
      <c r="AU23" s="12"/>
      <c r="AV23" s="12"/>
      <c r="AW23" s="12"/>
      <c r="AX23" s="35"/>
      <c r="AY23" s="35"/>
      <c r="AZ23" s="35"/>
      <c r="BA23" s="35"/>
      <c r="BB23" s="35"/>
      <c r="BC23" s="35"/>
      <c r="BD23" s="15"/>
      <c r="BE23" s="35"/>
      <c r="BF23" s="12"/>
      <c r="BG23" s="12"/>
      <c r="BH23" s="43"/>
      <c r="BI23" s="12"/>
    </row>
    <row r="24" spans="1:61" x14ac:dyDescent="0.3">
      <c r="A24" s="40"/>
      <c r="B24" s="83"/>
      <c r="C24" s="15"/>
      <c r="D24" s="15"/>
      <c r="E24" s="49"/>
      <c r="F24" s="80"/>
      <c r="G24" s="76" t="str">
        <f>IF(F24="","",MOD(10-MOD(SUMPRODUCT(--(MID(RIGHT("00000000000"&amp;E24,11),{1,3,5,7,9,11},1)))*3+SUMPRODUCT(--(MID(RIGHT("00000000000"&amp;E24,11),{2,4,6,8,10},1))),10),10)=F24)</f>
        <v/>
      </c>
      <c r="H24" s="76">
        <f t="shared" si="1"/>
        <v>0</v>
      </c>
      <c r="I24" s="17"/>
      <c r="J24" s="42"/>
      <c r="K24" s="40"/>
      <c r="L24" s="40"/>
      <c r="M24" s="39"/>
      <c r="N24" s="20"/>
      <c r="O24" s="46" t="str">
        <f t="shared" si="2"/>
        <v/>
      </c>
      <c r="P24" s="46" t="str">
        <f t="shared" si="3"/>
        <v/>
      </c>
      <c r="Q24" s="21"/>
      <c r="R24" s="72" t="str">
        <f t="shared" si="0"/>
        <v/>
      </c>
      <c r="S24" s="41"/>
      <c r="T24" s="164"/>
      <c r="U24" s="41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5"/>
      <c r="AP24" s="12"/>
      <c r="AQ24" s="12"/>
      <c r="AR24" s="12"/>
      <c r="AS24" s="12"/>
      <c r="AT24" s="12"/>
      <c r="AU24" s="12"/>
      <c r="AV24" s="12"/>
      <c r="AW24" s="12"/>
      <c r="AX24" s="35"/>
      <c r="AY24" s="35"/>
      <c r="AZ24" s="35"/>
      <c r="BA24" s="35"/>
      <c r="BB24" s="35"/>
      <c r="BC24" s="35"/>
      <c r="BD24" s="15"/>
      <c r="BE24" s="35"/>
      <c r="BF24" s="12"/>
      <c r="BG24" s="12"/>
      <c r="BH24" s="43"/>
      <c r="BI24" s="12"/>
    </row>
    <row r="25" spans="1:61" x14ac:dyDescent="0.3">
      <c r="A25" s="40"/>
      <c r="B25" s="83"/>
      <c r="C25" s="15"/>
      <c r="D25" s="15"/>
      <c r="E25" s="49"/>
      <c r="F25" s="80"/>
      <c r="G25" s="76" t="str">
        <f>IF(F25="","",MOD(10-MOD(SUMPRODUCT(--(MID(RIGHT("00000000000"&amp;E25,11),{1,3,5,7,9,11},1)))*3+SUMPRODUCT(--(MID(RIGHT("00000000000"&amp;E25,11),{2,4,6,8,10},1))),10),10)=F25)</f>
        <v/>
      </c>
      <c r="H25" s="76">
        <f t="shared" si="1"/>
        <v>0</v>
      </c>
      <c r="I25" s="17"/>
      <c r="J25" s="42"/>
      <c r="K25" s="40"/>
      <c r="L25" s="40"/>
      <c r="M25" s="39"/>
      <c r="N25" s="20"/>
      <c r="O25" s="46" t="str">
        <f t="shared" si="2"/>
        <v/>
      </c>
      <c r="P25" s="46" t="str">
        <f t="shared" si="3"/>
        <v/>
      </c>
      <c r="Q25" s="21"/>
      <c r="R25" s="72" t="str">
        <f t="shared" si="0"/>
        <v/>
      </c>
      <c r="S25" s="41"/>
      <c r="T25" s="164"/>
      <c r="U25" s="41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5"/>
      <c r="AP25" s="12"/>
      <c r="AQ25" s="12"/>
      <c r="AR25" s="12"/>
      <c r="AS25" s="12"/>
      <c r="AT25" s="12"/>
      <c r="AU25" s="12"/>
      <c r="AV25" s="12"/>
      <c r="AW25" s="12"/>
      <c r="AX25" s="35"/>
      <c r="AY25" s="35"/>
      <c r="AZ25" s="35"/>
      <c r="BA25" s="35"/>
      <c r="BB25" s="35"/>
      <c r="BC25" s="35"/>
      <c r="BD25" s="15"/>
      <c r="BE25" s="35"/>
      <c r="BF25" s="12"/>
      <c r="BG25" s="12"/>
      <c r="BH25" s="43"/>
      <c r="BI25" s="12"/>
    </row>
    <row r="26" spans="1:61" x14ac:dyDescent="0.3">
      <c r="A26" s="40"/>
      <c r="B26" s="83"/>
      <c r="C26" s="15"/>
      <c r="D26" s="15"/>
      <c r="E26" s="49"/>
      <c r="F26" s="80"/>
      <c r="G26" s="76" t="str">
        <f>IF(F26="","",MOD(10-MOD(SUMPRODUCT(--(MID(RIGHT("00000000000"&amp;E26,11),{1,3,5,7,9,11},1)))*3+SUMPRODUCT(--(MID(RIGHT("00000000000"&amp;E26,11),{2,4,6,8,10},1))),10),10)=F26)</f>
        <v/>
      </c>
      <c r="H26" s="76">
        <f t="shared" si="1"/>
        <v>0</v>
      </c>
      <c r="I26" s="17"/>
      <c r="J26" s="42"/>
      <c r="K26" s="40"/>
      <c r="L26" s="40"/>
      <c r="M26" s="39"/>
      <c r="N26" s="20"/>
      <c r="O26" s="46" t="str">
        <f t="shared" si="2"/>
        <v/>
      </c>
      <c r="P26" s="46" t="str">
        <f t="shared" si="3"/>
        <v/>
      </c>
      <c r="Q26" s="21"/>
      <c r="R26" s="72" t="str">
        <f t="shared" si="0"/>
        <v/>
      </c>
      <c r="S26" s="41"/>
      <c r="T26" s="164"/>
      <c r="U26" s="41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5"/>
      <c r="AP26" s="12"/>
      <c r="AQ26" s="12"/>
      <c r="AR26" s="12"/>
      <c r="AS26" s="12"/>
      <c r="AT26" s="12"/>
      <c r="AU26" s="12"/>
      <c r="AV26" s="12"/>
      <c r="AW26" s="12"/>
      <c r="AX26" s="35"/>
      <c r="AY26" s="35"/>
      <c r="AZ26" s="35"/>
      <c r="BA26" s="35"/>
      <c r="BB26" s="35"/>
      <c r="BC26" s="35"/>
      <c r="BD26" s="15"/>
      <c r="BE26" s="35"/>
      <c r="BF26" s="12"/>
      <c r="BG26" s="12"/>
      <c r="BH26" s="43"/>
      <c r="BI26" s="12"/>
    </row>
    <row r="27" spans="1:61" x14ac:dyDescent="0.3">
      <c r="A27" s="40"/>
      <c r="B27" s="83"/>
      <c r="C27" s="15"/>
      <c r="D27" s="15"/>
      <c r="E27" s="49"/>
      <c r="F27" s="80"/>
      <c r="G27" s="76" t="str">
        <f>IF(F27="","",MOD(10-MOD(SUMPRODUCT(--(MID(RIGHT("00000000000"&amp;E27,11),{1,3,5,7,9,11},1)))*3+SUMPRODUCT(--(MID(RIGHT("00000000000"&amp;E27,11),{2,4,6,8,10},1))),10),10)=F27)</f>
        <v/>
      </c>
      <c r="H27" s="76">
        <f t="shared" si="1"/>
        <v>0</v>
      </c>
      <c r="I27" s="17"/>
      <c r="J27" s="42"/>
      <c r="K27" s="40"/>
      <c r="L27" s="40"/>
      <c r="M27" s="39"/>
      <c r="N27" s="20"/>
      <c r="O27" s="46" t="str">
        <f t="shared" si="2"/>
        <v/>
      </c>
      <c r="P27" s="46" t="str">
        <f t="shared" si="3"/>
        <v/>
      </c>
      <c r="Q27" s="21"/>
      <c r="R27" s="72" t="str">
        <f t="shared" si="0"/>
        <v/>
      </c>
      <c r="S27" s="41"/>
      <c r="T27" s="164"/>
      <c r="U27" s="41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5"/>
      <c r="AP27" s="12"/>
      <c r="AQ27" s="12"/>
      <c r="AR27" s="12"/>
      <c r="AS27" s="12"/>
      <c r="AT27" s="12"/>
      <c r="AU27" s="12"/>
      <c r="AV27" s="12"/>
      <c r="AW27" s="12"/>
      <c r="AX27" s="35"/>
      <c r="AY27" s="35"/>
      <c r="AZ27" s="35"/>
      <c r="BA27" s="35"/>
      <c r="BB27" s="35"/>
      <c r="BC27" s="35"/>
      <c r="BD27" s="15"/>
      <c r="BE27" s="35"/>
      <c r="BF27" s="12"/>
      <c r="BG27" s="12"/>
      <c r="BH27" s="43"/>
      <c r="BI27" s="12"/>
    </row>
    <row r="28" spans="1:61" x14ac:dyDescent="0.3">
      <c r="A28" s="40"/>
      <c r="B28" s="83"/>
      <c r="C28" s="15"/>
      <c r="D28" s="15"/>
      <c r="E28" s="49"/>
      <c r="F28" s="80"/>
      <c r="G28" s="76" t="str">
        <f>IF(F28="","",MOD(10-MOD(SUMPRODUCT(--(MID(RIGHT("00000000000"&amp;E28,11),{1,3,5,7,9,11},1)))*3+SUMPRODUCT(--(MID(RIGHT("00000000000"&amp;E28,11),{2,4,6,8,10},1))),10),10)=F28)</f>
        <v/>
      </c>
      <c r="H28" s="76">
        <f t="shared" si="1"/>
        <v>0</v>
      </c>
      <c r="I28" s="17"/>
      <c r="J28" s="42"/>
      <c r="K28" s="40"/>
      <c r="L28" s="40"/>
      <c r="M28" s="39"/>
      <c r="N28" s="20"/>
      <c r="O28" s="46" t="str">
        <f t="shared" si="2"/>
        <v/>
      </c>
      <c r="P28" s="46" t="str">
        <f t="shared" si="3"/>
        <v/>
      </c>
      <c r="Q28" s="21"/>
      <c r="R28" s="72" t="str">
        <f t="shared" si="0"/>
        <v/>
      </c>
      <c r="S28" s="41"/>
      <c r="T28" s="164"/>
      <c r="U28" s="41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5"/>
      <c r="AP28" s="12"/>
      <c r="AQ28" s="12"/>
      <c r="AR28" s="12"/>
      <c r="AS28" s="12"/>
      <c r="AT28" s="12"/>
      <c r="AU28" s="12"/>
      <c r="AV28" s="12"/>
      <c r="AW28" s="12"/>
      <c r="AX28" s="35"/>
      <c r="AY28" s="35"/>
      <c r="AZ28" s="35"/>
      <c r="BA28" s="35"/>
      <c r="BB28" s="35"/>
      <c r="BC28" s="35"/>
      <c r="BD28" s="15"/>
      <c r="BE28" s="35"/>
      <c r="BF28" s="12"/>
      <c r="BG28" s="12"/>
      <c r="BH28" s="43"/>
      <c r="BI28" s="12"/>
    </row>
    <row r="29" spans="1:61" x14ac:dyDescent="0.3">
      <c r="A29" s="40"/>
      <c r="B29" s="83"/>
      <c r="C29" s="15"/>
      <c r="D29" s="15"/>
      <c r="E29" s="49"/>
      <c r="F29" s="80"/>
      <c r="G29" s="76" t="str">
        <f>IF(F29="","",MOD(10-MOD(SUMPRODUCT(--(MID(RIGHT("00000000000"&amp;E29,11),{1,3,5,7,9,11},1)))*3+SUMPRODUCT(--(MID(RIGHT("00000000000"&amp;E29,11),{2,4,6,8,10},1))),10),10)=F29)</f>
        <v/>
      </c>
      <c r="H29" s="76">
        <f t="shared" si="1"/>
        <v>0</v>
      </c>
      <c r="I29" s="17"/>
      <c r="J29" s="42"/>
      <c r="K29" s="40"/>
      <c r="L29" s="40"/>
      <c r="M29" s="39"/>
      <c r="N29" s="20"/>
      <c r="O29" s="46" t="str">
        <f t="shared" si="2"/>
        <v/>
      </c>
      <c r="P29" s="46" t="str">
        <f t="shared" si="3"/>
        <v/>
      </c>
      <c r="Q29" s="21"/>
      <c r="R29" s="72" t="str">
        <f t="shared" si="0"/>
        <v/>
      </c>
      <c r="S29" s="41"/>
      <c r="T29" s="164"/>
      <c r="U29" s="41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5"/>
      <c r="AP29" s="12"/>
      <c r="AQ29" s="12"/>
      <c r="AR29" s="12"/>
      <c r="AS29" s="12"/>
      <c r="AT29" s="12"/>
      <c r="AU29" s="12"/>
      <c r="AV29" s="12"/>
      <c r="AW29" s="12"/>
      <c r="AX29" s="35"/>
      <c r="AY29" s="35"/>
      <c r="AZ29" s="35"/>
      <c r="BA29" s="35"/>
      <c r="BB29" s="35"/>
      <c r="BC29" s="35"/>
      <c r="BD29" s="15"/>
      <c r="BE29" s="35"/>
      <c r="BF29" s="12"/>
      <c r="BG29" s="12"/>
      <c r="BH29" s="43"/>
      <c r="BI29" s="12"/>
    </row>
    <row r="30" spans="1:61" x14ac:dyDescent="0.3">
      <c r="A30" s="40"/>
      <c r="B30" s="83"/>
      <c r="C30" s="15"/>
      <c r="D30" s="15"/>
      <c r="E30" s="49"/>
      <c r="F30" s="80"/>
      <c r="G30" s="76" t="str">
        <f>IF(F30="","",MOD(10-MOD(SUMPRODUCT(--(MID(RIGHT("00000000000"&amp;E30,11),{1,3,5,7,9,11},1)))*3+SUMPRODUCT(--(MID(RIGHT("00000000000"&amp;E30,11),{2,4,6,8,10},1))),10),10)=F30)</f>
        <v/>
      </c>
      <c r="H30" s="76">
        <f t="shared" si="1"/>
        <v>0</v>
      </c>
      <c r="I30" s="17"/>
      <c r="J30" s="42"/>
      <c r="K30" s="40"/>
      <c r="L30" s="40"/>
      <c r="M30" s="39"/>
      <c r="N30" s="20"/>
      <c r="O30" s="46" t="str">
        <f t="shared" si="2"/>
        <v/>
      </c>
      <c r="P30" s="46" t="str">
        <f t="shared" si="3"/>
        <v/>
      </c>
      <c r="Q30" s="21"/>
      <c r="R30" s="72" t="str">
        <f t="shared" si="0"/>
        <v/>
      </c>
      <c r="S30" s="41"/>
      <c r="T30" s="164"/>
      <c r="U30" s="41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5"/>
      <c r="AP30" s="12"/>
      <c r="AQ30" s="12"/>
      <c r="AR30" s="12"/>
      <c r="AS30" s="12"/>
      <c r="AT30" s="12"/>
      <c r="AU30" s="12"/>
      <c r="AV30" s="12"/>
      <c r="AW30" s="12"/>
      <c r="AX30" s="35"/>
      <c r="AY30" s="35"/>
      <c r="AZ30" s="35"/>
      <c r="BA30" s="35"/>
      <c r="BB30" s="35"/>
      <c r="BC30" s="35"/>
      <c r="BD30" s="15"/>
      <c r="BE30" s="35"/>
      <c r="BF30" s="12"/>
      <c r="BG30" s="12"/>
      <c r="BH30" s="43"/>
      <c r="BI30" s="12"/>
    </row>
    <row r="31" spans="1:61" x14ac:dyDescent="0.3">
      <c r="A31" s="40"/>
      <c r="B31" s="83"/>
      <c r="C31" s="15"/>
      <c r="D31" s="15"/>
      <c r="E31" s="49"/>
      <c r="F31" s="80"/>
      <c r="G31" s="76" t="str">
        <f>IF(F31="","",MOD(10-MOD(SUMPRODUCT(--(MID(RIGHT("00000000000"&amp;E31,11),{1,3,5,7,9,11},1)))*3+SUMPRODUCT(--(MID(RIGHT("00000000000"&amp;E31,11),{2,4,6,8,10},1))),10),10)=F31)</f>
        <v/>
      </c>
      <c r="H31" s="76">
        <f t="shared" si="1"/>
        <v>0</v>
      </c>
      <c r="I31" s="17"/>
      <c r="J31" s="42"/>
      <c r="K31" s="40"/>
      <c r="L31" s="40"/>
      <c r="M31" s="39"/>
      <c r="N31" s="20"/>
      <c r="O31" s="46" t="str">
        <f t="shared" si="2"/>
        <v/>
      </c>
      <c r="P31" s="46" t="str">
        <f t="shared" si="3"/>
        <v/>
      </c>
      <c r="Q31" s="21"/>
      <c r="R31" s="72" t="str">
        <f t="shared" si="0"/>
        <v/>
      </c>
      <c r="S31" s="41"/>
      <c r="T31" s="164"/>
      <c r="U31" s="41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5"/>
      <c r="AP31" s="12"/>
      <c r="AQ31" s="12"/>
      <c r="AR31" s="12"/>
      <c r="AS31" s="12"/>
      <c r="AT31" s="12"/>
      <c r="AU31" s="12"/>
      <c r="AV31" s="12"/>
      <c r="AW31" s="12"/>
      <c r="AX31" s="35"/>
      <c r="AY31" s="35"/>
      <c r="AZ31" s="35"/>
      <c r="BA31" s="35"/>
      <c r="BB31" s="35"/>
      <c r="BC31" s="35"/>
      <c r="BD31" s="15"/>
      <c r="BE31" s="35"/>
      <c r="BF31" s="12"/>
      <c r="BG31" s="12"/>
      <c r="BH31" s="43"/>
      <c r="BI31" s="12"/>
    </row>
    <row r="32" spans="1:61" x14ac:dyDescent="0.3">
      <c r="A32" s="40"/>
      <c r="B32" s="83"/>
      <c r="C32" s="15"/>
      <c r="D32" s="15"/>
      <c r="E32" s="49"/>
      <c r="F32" s="80"/>
      <c r="G32" s="76" t="str">
        <f>IF(F32="","",MOD(10-MOD(SUMPRODUCT(--(MID(RIGHT("00000000000"&amp;E32,11),{1,3,5,7,9,11},1)))*3+SUMPRODUCT(--(MID(RIGHT("00000000000"&amp;E32,11),{2,4,6,8,10},1))),10),10)=F32)</f>
        <v/>
      </c>
      <c r="H32" s="76">
        <f t="shared" si="1"/>
        <v>0</v>
      </c>
      <c r="I32" s="17"/>
      <c r="J32" s="42"/>
      <c r="K32" s="40"/>
      <c r="L32" s="40"/>
      <c r="M32" s="39"/>
      <c r="N32" s="20"/>
      <c r="O32" s="46" t="str">
        <f t="shared" si="2"/>
        <v/>
      </c>
      <c r="P32" s="46" t="str">
        <f t="shared" si="3"/>
        <v/>
      </c>
      <c r="Q32" s="21"/>
      <c r="R32" s="72" t="str">
        <f t="shared" si="0"/>
        <v/>
      </c>
      <c r="S32" s="41"/>
      <c r="T32" s="164"/>
      <c r="U32" s="41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5"/>
      <c r="AP32" s="12"/>
      <c r="AQ32" s="12"/>
      <c r="AR32" s="12"/>
      <c r="AS32" s="12"/>
      <c r="AT32" s="12"/>
      <c r="AU32" s="12"/>
      <c r="AV32" s="12"/>
      <c r="AW32" s="12"/>
      <c r="AX32" s="35"/>
      <c r="AY32" s="35"/>
      <c r="AZ32" s="35"/>
      <c r="BA32" s="35"/>
      <c r="BB32" s="35"/>
      <c r="BC32" s="35"/>
      <c r="BD32" s="15"/>
      <c r="BE32" s="35"/>
      <c r="BF32" s="12"/>
      <c r="BG32" s="12"/>
      <c r="BH32" s="43"/>
      <c r="BI32" s="12"/>
    </row>
    <row r="33" spans="1:61" x14ac:dyDescent="0.3">
      <c r="A33" s="40"/>
      <c r="B33" s="83"/>
      <c r="C33" s="15"/>
      <c r="D33" s="15"/>
      <c r="E33" s="49"/>
      <c r="F33" s="80"/>
      <c r="G33" s="76" t="str">
        <f>IF(F33="","",MOD(10-MOD(SUMPRODUCT(--(MID(RIGHT("00000000000"&amp;E33,11),{1,3,5,7,9,11},1)))*3+SUMPRODUCT(--(MID(RIGHT("00000000000"&amp;E33,11),{2,4,6,8,10},1))),10),10)=F33)</f>
        <v/>
      </c>
      <c r="H33" s="76">
        <f t="shared" si="1"/>
        <v>0</v>
      </c>
      <c r="I33" s="17"/>
      <c r="J33" s="42"/>
      <c r="K33" s="40"/>
      <c r="L33" s="40"/>
      <c r="M33" s="39"/>
      <c r="N33" s="20"/>
      <c r="O33" s="46" t="str">
        <f t="shared" si="2"/>
        <v/>
      </c>
      <c r="P33" s="46" t="str">
        <f t="shared" si="3"/>
        <v/>
      </c>
      <c r="Q33" s="21"/>
      <c r="R33" s="72" t="str">
        <f t="shared" si="0"/>
        <v/>
      </c>
      <c r="S33" s="41"/>
      <c r="T33" s="164"/>
      <c r="U33" s="41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5"/>
      <c r="AP33" s="12"/>
      <c r="AQ33" s="12"/>
      <c r="AR33" s="12"/>
      <c r="AS33" s="12"/>
      <c r="AT33" s="12"/>
      <c r="AU33" s="12"/>
      <c r="AV33" s="12"/>
      <c r="AW33" s="12"/>
      <c r="AX33" s="35"/>
      <c r="AY33" s="35"/>
      <c r="AZ33" s="35"/>
      <c r="BA33" s="35"/>
      <c r="BB33" s="35"/>
      <c r="BC33" s="35"/>
      <c r="BD33" s="15"/>
      <c r="BE33" s="35"/>
      <c r="BF33" s="12"/>
      <c r="BG33" s="12"/>
      <c r="BH33" s="43"/>
      <c r="BI33" s="12"/>
    </row>
    <row r="34" spans="1:61" x14ac:dyDescent="0.3">
      <c r="A34" s="40"/>
      <c r="B34" s="83"/>
      <c r="C34" s="15"/>
      <c r="D34" s="15"/>
      <c r="E34" s="49"/>
      <c r="F34" s="80"/>
      <c r="G34" s="76" t="str">
        <f>IF(F34="","",MOD(10-MOD(SUMPRODUCT(--(MID(RIGHT("00000000000"&amp;E34,11),{1,3,5,7,9,11},1)))*3+SUMPRODUCT(--(MID(RIGHT("00000000000"&amp;E34,11),{2,4,6,8,10},1))),10),10)=F34)</f>
        <v/>
      </c>
      <c r="H34" s="76">
        <f t="shared" si="1"/>
        <v>0</v>
      </c>
      <c r="I34" s="17"/>
      <c r="J34" s="42"/>
      <c r="K34" s="40"/>
      <c r="L34" s="40"/>
      <c r="M34" s="39"/>
      <c r="N34" s="20"/>
      <c r="O34" s="46" t="str">
        <f t="shared" si="2"/>
        <v/>
      </c>
      <c r="P34" s="46" t="str">
        <f t="shared" si="3"/>
        <v/>
      </c>
      <c r="Q34" s="21"/>
      <c r="R34" s="72" t="str">
        <f t="shared" si="0"/>
        <v/>
      </c>
      <c r="S34" s="41"/>
      <c r="T34" s="164"/>
      <c r="U34" s="41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5"/>
      <c r="AP34" s="12"/>
      <c r="AQ34" s="12"/>
      <c r="AR34" s="12"/>
      <c r="AS34" s="12"/>
      <c r="AT34" s="12"/>
      <c r="AU34" s="12"/>
      <c r="AV34" s="12"/>
      <c r="AW34" s="12"/>
      <c r="AX34" s="35"/>
      <c r="AY34" s="35"/>
      <c r="AZ34" s="35"/>
      <c r="BA34" s="35"/>
      <c r="BB34" s="35"/>
      <c r="BC34" s="35"/>
      <c r="BD34" s="15"/>
      <c r="BE34" s="35"/>
      <c r="BF34" s="12"/>
      <c r="BG34" s="12"/>
      <c r="BH34" s="43"/>
      <c r="BI34" s="12"/>
    </row>
    <row r="35" spans="1:61" x14ac:dyDescent="0.3">
      <c r="A35" s="40"/>
      <c r="B35" s="83"/>
      <c r="C35" s="15"/>
      <c r="D35" s="15"/>
      <c r="E35" s="49"/>
      <c r="F35" s="80"/>
      <c r="G35" s="76" t="str">
        <f>IF(F35="","",MOD(10-MOD(SUMPRODUCT(--(MID(RIGHT("00000000000"&amp;E35,11),{1,3,5,7,9,11},1)))*3+SUMPRODUCT(--(MID(RIGHT("00000000000"&amp;E35,11),{2,4,6,8,10},1))),10),10)=F35)</f>
        <v/>
      </c>
      <c r="H35" s="76">
        <f t="shared" si="1"/>
        <v>0</v>
      </c>
      <c r="I35" s="17"/>
      <c r="J35" s="42"/>
      <c r="K35" s="40"/>
      <c r="L35" s="40"/>
      <c r="M35" s="39"/>
      <c r="N35" s="20"/>
      <c r="O35" s="46" t="str">
        <f t="shared" si="2"/>
        <v/>
      </c>
      <c r="P35" s="46" t="str">
        <f t="shared" si="3"/>
        <v/>
      </c>
      <c r="Q35" s="21"/>
      <c r="R35" s="72" t="str">
        <f t="shared" si="0"/>
        <v/>
      </c>
      <c r="S35" s="41"/>
      <c r="T35" s="164"/>
      <c r="U35" s="41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5"/>
      <c r="AP35" s="12"/>
      <c r="AQ35" s="12"/>
      <c r="AR35" s="12"/>
      <c r="AS35" s="12"/>
      <c r="AT35" s="12"/>
      <c r="AU35" s="12"/>
      <c r="AV35" s="12"/>
      <c r="AW35" s="12"/>
      <c r="AX35" s="35"/>
      <c r="AY35" s="35"/>
      <c r="AZ35" s="35"/>
      <c r="BA35" s="35"/>
      <c r="BB35" s="35"/>
      <c r="BC35" s="35"/>
      <c r="BD35" s="15"/>
      <c r="BE35" s="35"/>
      <c r="BF35" s="12"/>
      <c r="BG35" s="12"/>
      <c r="BH35" s="43"/>
      <c r="BI35" s="12"/>
    </row>
    <row r="36" spans="1:61" x14ac:dyDescent="0.3">
      <c r="A36" s="40"/>
      <c r="B36" s="83"/>
      <c r="C36" s="15"/>
      <c r="D36" s="15"/>
      <c r="E36" s="49"/>
      <c r="F36" s="80"/>
      <c r="G36" s="76" t="str">
        <f>IF(F36="","",MOD(10-MOD(SUMPRODUCT(--(MID(RIGHT("00000000000"&amp;E36,11),{1,3,5,7,9,11},1)))*3+SUMPRODUCT(--(MID(RIGHT("00000000000"&amp;E36,11),{2,4,6,8,10},1))),10),10)=F36)</f>
        <v/>
      </c>
      <c r="H36" s="76">
        <f t="shared" si="1"/>
        <v>0</v>
      </c>
      <c r="I36" s="17"/>
      <c r="J36" s="42"/>
      <c r="K36" s="40"/>
      <c r="L36" s="40"/>
      <c r="M36" s="39"/>
      <c r="N36" s="20"/>
      <c r="O36" s="46" t="str">
        <f t="shared" si="2"/>
        <v/>
      </c>
      <c r="P36" s="46" t="str">
        <f t="shared" si="3"/>
        <v/>
      </c>
      <c r="Q36" s="21"/>
      <c r="R36" s="72" t="str">
        <f t="shared" si="0"/>
        <v/>
      </c>
      <c r="S36" s="41"/>
      <c r="T36" s="164"/>
      <c r="U36" s="41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5"/>
      <c r="AP36" s="12"/>
      <c r="AQ36" s="12"/>
      <c r="AR36" s="12"/>
      <c r="AS36" s="12"/>
      <c r="AT36" s="12"/>
      <c r="AU36" s="12"/>
      <c r="AV36" s="12"/>
      <c r="AW36" s="12"/>
      <c r="AX36" s="35"/>
      <c r="AY36" s="35"/>
      <c r="AZ36" s="35"/>
      <c r="BA36" s="35"/>
      <c r="BB36" s="35"/>
      <c r="BC36" s="35"/>
      <c r="BD36" s="15"/>
      <c r="BE36" s="35"/>
      <c r="BF36" s="12"/>
      <c r="BG36" s="12"/>
      <c r="BH36" s="43"/>
      <c r="BI36" s="12"/>
    </row>
    <row r="37" spans="1:61" x14ac:dyDescent="0.3">
      <c r="A37" s="40"/>
      <c r="B37" s="83"/>
      <c r="C37" s="15"/>
      <c r="D37" s="15"/>
      <c r="E37" s="49"/>
      <c r="F37" s="80"/>
      <c r="G37" s="76" t="str">
        <f>IF(F37="","",MOD(10-MOD(SUMPRODUCT(--(MID(RIGHT("00000000000"&amp;E37,11),{1,3,5,7,9,11},1)))*3+SUMPRODUCT(--(MID(RIGHT("00000000000"&amp;E37,11),{2,4,6,8,10},1))),10),10)=F37)</f>
        <v/>
      </c>
      <c r="H37" s="76">
        <f t="shared" si="1"/>
        <v>0</v>
      </c>
      <c r="I37" s="17"/>
      <c r="J37" s="42"/>
      <c r="K37" s="40"/>
      <c r="L37" s="40"/>
      <c r="M37" s="39"/>
      <c r="N37" s="20"/>
      <c r="O37" s="46" t="str">
        <f t="shared" si="2"/>
        <v/>
      </c>
      <c r="P37" s="46" t="str">
        <f t="shared" si="3"/>
        <v/>
      </c>
      <c r="Q37" s="21"/>
      <c r="R37" s="72" t="str">
        <f t="shared" si="0"/>
        <v/>
      </c>
      <c r="S37" s="41"/>
      <c r="T37" s="164"/>
      <c r="U37" s="41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5"/>
      <c r="AP37" s="12"/>
      <c r="AQ37" s="12"/>
      <c r="AR37" s="12"/>
      <c r="AS37" s="12"/>
      <c r="AT37" s="12"/>
      <c r="AU37" s="12"/>
      <c r="AV37" s="12"/>
      <c r="AW37" s="12"/>
      <c r="AX37" s="35"/>
      <c r="AY37" s="35"/>
      <c r="AZ37" s="35"/>
      <c r="BA37" s="35"/>
      <c r="BB37" s="35"/>
      <c r="BC37" s="35"/>
      <c r="BD37" s="15"/>
      <c r="BE37" s="35"/>
      <c r="BF37" s="12"/>
      <c r="BG37" s="12"/>
      <c r="BH37" s="43"/>
      <c r="BI37" s="12"/>
    </row>
    <row r="38" spans="1:61" x14ac:dyDescent="0.3">
      <c r="A38" s="40"/>
      <c r="B38" s="83"/>
      <c r="C38" s="15"/>
      <c r="D38" s="15"/>
      <c r="E38" s="49"/>
      <c r="F38" s="80"/>
      <c r="G38" s="76" t="str">
        <f>IF(F38="","",MOD(10-MOD(SUMPRODUCT(--(MID(RIGHT("00000000000"&amp;E38,11),{1,3,5,7,9,11},1)))*3+SUMPRODUCT(--(MID(RIGHT("00000000000"&amp;E38,11),{2,4,6,8,10},1))),10),10)=F38)</f>
        <v/>
      </c>
      <c r="H38" s="76">
        <f t="shared" si="1"/>
        <v>0</v>
      </c>
      <c r="I38" s="17"/>
      <c r="J38" s="42"/>
      <c r="K38" s="40"/>
      <c r="L38" s="84"/>
      <c r="M38" s="39"/>
      <c r="N38" s="20"/>
      <c r="O38" s="46" t="str">
        <f t="shared" si="2"/>
        <v/>
      </c>
      <c r="P38" s="46" t="str">
        <f t="shared" si="3"/>
        <v/>
      </c>
      <c r="Q38" s="21"/>
      <c r="R38" s="72" t="str">
        <f t="shared" si="0"/>
        <v/>
      </c>
      <c r="S38" s="41"/>
      <c r="T38" s="164"/>
      <c r="U38" s="41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5"/>
      <c r="AP38" s="12"/>
      <c r="AQ38" s="12"/>
      <c r="AR38" s="12"/>
      <c r="AS38" s="12"/>
      <c r="AT38" s="12"/>
      <c r="AU38" s="12"/>
      <c r="AV38" s="12"/>
      <c r="AW38" s="12"/>
      <c r="AX38" s="35"/>
      <c r="AY38" s="35"/>
      <c r="AZ38" s="35"/>
      <c r="BA38" s="35"/>
      <c r="BB38" s="35"/>
      <c r="BC38" s="35"/>
      <c r="BD38" s="15"/>
      <c r="BE38" s="35"/>
      <c r="BF38" s="12"/>
      <c r="BG38" s="12"/>
      <c r="BH38" s="43"/>
      <c r="BI38" s="12"/>
    </row>
    <row r="39" spans="1:61" x14ac:dyDescent="0.3">
      <c r="A39" s="40"/>
      <c r="B39" s="83"/>
      <c r="C39" s="15"/>
      <c r="D39" s="15"/>
      <c r="E39" s="49"/>
      <c r="F39" s="80"/>
      <c r="G39" s="76" t="str">
        <f>IF(F39="","",MOD(10-MOD(SUMPRODUCT(--(MID(RIGHT("00000000000"&amp;E39,11),{1,3,5,7,9,11},1)))*3+SUMPRODUCT(--(MID(RIGHT("00000000000"&amp;E39,11),{2,4,6,8,10},1))),10),10)=F39)</f>
        <v/>
      </c>
      <c r="H39" s="76">
        <f t="shared" si="1"/>
        <v>0</v>
      </c>
      <c r="I39" s="17"/>
      <c r="J39" s="42"/>
      <c r="K39" s="40"/>
      <c r="L39" s="84"/>
      <c r="M39" s="39"/>
      <c r="N39" s="20"/>
      <c r="O39" s="46" t="str">
        <f t="shared" si="2"/>
        <v/>
      </c>
      <c r="P39" s="46" t="str">
        <f t="shared" si="3"/>
        <v/>
      </c>
      <c r="Q39" s="21"/>
      <c r="R39" s="72" t="str">
        <f t="shared" si="0"/>
        <v/>
      </c>
      <c r="S39" s="41"/>
      <c r="T39" s="164"/>
      <c r="U39" s="41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5"/>
      <c r="AP39" s="12"/>
      <c r="AQ39" s="12"/>
      <c r="AR39" s="12"/>
      <c r="AS39" s="12"/>
      <c r="AT39" s="12"/>
      <c r="AU39" s="12"/>
      <c r="AV39" s="12"/>
      <c r="AW39" s="12"/>
      <c r="AX39" s="35"/>
      <c r="AY39" s="35"/>
      <c r="AZ39" s="35"/>
      <c r="BA39" s="35"/>
      <c r="BB39" s="35"/>
      <c r="BC39" s="35"/>
      <c r="BD39" s="15"/>
      <c r="BE39" s="35"/>
      <c r="BF39" s="12"/>
      <c r="BG39" s="12"/>
      <c r="BH39" s="43"/>
      <c r="BI39" s="12"/>
    </row>
    <row r="40" spans="1:61" x14ac:dyDescent="0.3">
      <c r="A40" s="40"/>
      <c r="B40" s="83"/>
      <c r="C40" s="15"/>
      <c r="D40" s="15"/>
      <c r="E40" s="49"/>
      <c r="F40" s="80"/>
      <c r="G40" s="76"/>
      <c r="H40" s="76">
        <f t="shared" si="1"/>
        <v>0</v>
      </c>
      <c r="I40" s="17"/>
      <c r="J40" s="42"/>
      <c r="K40" s="40"/>
      <c r="L40" s="84"/>
      <c r="M40" s="39"/>
      <c r="N40" s="20"/>
      <c r="O40" s="46" t="str">
        <f t="shared" si="2"/>
        <v/>
      </c>
      <c r="P40" s="46" t="str">
        <f t="shared" si="3"/>
        <v/>
      </c>
      <c r="Q40" s="21"/>
      <c r="R40" s="72" t="str">
        <f t="shared" si="0"/>
        <v/>
      </c>
      <c r="S40" s="41"/>
      <c r="T40" s="164"/>
      <c r="U40" s="41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5"/>
      <c r="AP40" s="12"/>
      <c r="AQ40" s="12"/>
      <c r="AR40" s="12"/>
      <c r="AS40" s="12"/>
      <c r="AT40" s="12"/>
      <c r="AU40" s="12"/>
      <c r="AV40" s="12"/>
      <c r="AW40" s="12"/>
      <c r="AX40" s="35"/>
      <c r="AY40" s="35"/>
      <c r="AZ40" s="35"/>
      <c r="BA40" s="35"/>
      <c r="BB40" s="35"/>
      <c r="BC40" s="35"/>
      <c r="BD40" s="15"/>
      <c r="BE40" s="35"/>
      <c r="BF40" s="12"/>
      <c r="BG40" s="12"/>
      <c r="BH40" s="43"/>
      <c r="BI40" s="12"/>
    </row>
    <row r="41" spans="1:61" x14ac:dyDescent="0.3">
      <c r="A41" s="40"/>
      <c r="B41" s="83"/>
      <c r="C41" s="15"/>
      <c r="D41" s="15"/>
      <c r="E41" s="49"/>
      <c r="F41" s="80"/>
      <c r="G41" s="76"/>
      <c r="H41" s="76">
        <f t="shared" si="1"/>
        <v>0</v>
      </c>
      <c r="I41" s="17"/>
      <c r="J41" s="42"/>
      <c r="K41" s="40"/>
      <c r="L41" s="84"/>
      <c r="M41" s="39"/>
      <c r="N41" s="20"/>
      <c r="O41" s="46" t="str">
        <f t="shared" si="2"/>
        <v/>
      </c>
      <c r="P41" s="46" t="str">
        <f t="shared" si="3"/>
        <v/>
      </c>
      <c r="Q41" s="21"/>
      <c r="R41" s="72" t="str">
        <f t="shared" si="0"/>
        <v/>
      </c>
      <c r="S41" s="41"/>
      <c r="T41" s="164"/>
      <c r="U41" s="41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5"/>
      <c r="AP41" s="12"/>
      <c r="AQ41" s="12"/>
      <c r="AR41" s="12"/>
      <c r="AS41" s="12"/>
      <c r="AT41" s="12"/>
      <c r="AU41" s="12"/>
      <c r="AV41" s="12"/>
      <c r="AW41" s="12"/>
      <c r="AX41" s="35"/>
      <c r="AY41" s="35"/>
      <c r="AZ41" s="35"/>
      <c r="BA41" s="35"/>
      <c r="BB41" s="35"/>
      <c r="BC41" s="35"/>
      <c r="BD41" s="15"/>
      <c r="BE41" s="35"/>
      <c r="BF41" s="12"/>
      <c r="BG41" s="12"/>
      <c r="BH41" s="43"/>
      <c r="BI41" s="12"/>
    </row>
    <row r="42" spans="1:61" x14ac:dyDescent="0.3">
      <c r="A42" s="40"/>
      <c r="B42" s="83"/>
      <c r="C42" s="15"/>
      <c r="D42" s="15"/>
      <c r="E42" s="49"/>
      <c r="F42" s="80"/>
      <c r="G42" s="76"/>
      <c r="H42" s="76">
        <f t="shared" si="1"/>
        <v>0</v>
      </c>
      <c r="I42" s="17"/>
      <c r="J42" s="42"/>
      <c r="K42" s="40"/>
      <c r="L42" s="84"/>
      <c r="M42" s="39"/>
      <c r="N42" s="20"/>
      <c r="O42" s="46" t="str">
        <f t="shared" si="2"/>
        <v/>
      </c>
      <c r="P42" s="46" t="str">
        <f t="shared" si="3"/>
        <v/>
      </c>
      <c r="Q42" s="21"/>
      <c r="R42" s="72" t="str">
        <f t="shared" si="0"/>
        <v/>
      </c>
      <c r="S42" s="41"/>
      <c r="T42" s="164"/>
      <c r="U42" s="41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5"/>
      <c r="AP42" s="12"/>
      <c r="AQ42" s="12"/>
      <c r="AR42" s="12"/>
      <c r="AS42" s="12"/>
      <c r="AT42" s="12"/>
      <c r="AU42" s="12"/>
      <c r="AV42" s="12"/>
      <c r="AW42" s="12"/>
      <c r="AX42" s="35"/>
      <c r="AY42" s="35"/>
      <c r="AZ42" s="35"/>
      <c r="BA42" s="35"/>
      <c r="BB42" s="35"/>
      <c r="BC42" s="35"/>
      <c r="BD42" s="15"/>
      <c r="BE42" s="35"/>
      <c r="BF42" s="12"/>
      <c r="BG42" s="12"/>
      <c r="BH42" s="43"/>
      <c r="BI42" s="12"/>
    </row>
    <row r="43" spans="1:61" x14ac:dyDescent="0.3">
      <c r="A43" s="40"/>
      <c r="B43" s="83"/>
      <c r="C43" s="15"/>
      <c r="D43" s="15"/>
      <c r="E43" s="49"/>
      <c r="F43" s="80"/>
      <c r="G43" s="76"/>
      <c r="H43" s="76">
        <f t="shared" si="1"/>
        <v>0</v>
      </c>
      <c r="I43" s="17"/>
      <c r="J43" s="42"/>
      <c r="K43" s="40"/>
      <c r="L43" s="84"/>
      <c r="M43" s="39"/>
      <c r="N43" s="20"/>
      <c r="O43" s="46" t="str">
        <f t="shared" si="2"/>
        <v/>
      </c>
      <c r="P43" s="46" t="str">
        <f t="shared" si="3"/>
        <v/>
      </c>
      <c r="Q43" s="21"/>
      <c r="R43" s="72" t="str">
        <f t="shared" si="0"/>
        <v/>
      </c>
      <c r="S43" s="41"/>
      <c r="T43" s="164"/>
      <c r="U43" s="41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5"/>
      <c r="AP43" s="12"/>
      <c r="AQ43" s="12"/>
      <c r="AR43" s="12"/>
      <c r="AS43" s="12"/>
      <c r="AT43" s="12"/>
      <c r="AU43" s="12"/>
      <c r="AV43" s="12"/>
      <c r="AW43" s="12"/>
      <c r="AX43" s="35"/>
      <c r="AY43" s="35"/>
      <c r="AZ43" s="35"/>
      <c r="BA43" s="35"/>
      <c r="BB43" s="35"/>
      <c r="BC43" s="35"/>
      <c r="BD43" s="15"/>
      <c r="BE43" s="35"/>
      <c r="BF43" s="12"/>
      <c r="BG43" s="12"/>
      <c r="BH43" s="43"/>
      <c r="BI43" s="12"/>
    </row>
    <row r="44" spans="1:61" x14ac:dyDescent="0.3">
      <c r="A44" s="40"/>
      <c r="B44" s="83"/>
      <c r="C44" s="15"/>
      <c r="D44" s="15"/>
      <c r="E44" s="49"/>
      <c r="F44" s="80"/>
      <c r="G44" s="76"/>
      <c r="H44" s="76">
        <f t="shared" si="1"/>
        <v>0</v>
      </c>
      <c r="I44" s="17"/>
      <c r="J44" s="42"/>
      <c r="K44" s="40"/>
      <c r="L44" s="84"/>
      <c r="M44" s="39"/>
      <c r="N44" s="20"/>
      <c r="O44" s="46" t="str">
        <f t="shared" si="2"/>
        <v/>
      </c>
      <c r="P44" s="46" t="str">
        <f t="shared" si="3"/>
        <v/>
      </c>
      <c r="Q44" s="21"/>
      <c r="R44" s="72" t="str">
        <f t="shared" si="0"/>
        <v/>
      </c>
      <c r="S44" s="41"/>
      <c r="T44" s="164"/>
      <c r="U44" s="41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5"/>
      <c r="AP44" s="12"/>
      <c r="AQ44" s="12"/>
      <c r="AR44" s="12"/>
      <c r="AS44" s="12"/>
      <c r="AT44" s="12"/>
      <c r="AU44" s="12"/>
      <c r="AV44" s="12"/>
      <c r="AW44" s="12"/>
      <c r="AX44" s="35"/>
      <c r="AY44" s="35"/>
      <c r="AZ44" s="35"/>
      <c r="BA44" s="35"/>
      <c r="BB44" s="35"/>
      <c r="BC44" s="35"/>
      <c r="BD44" s="15"/>
      <c r="BE44" s="35"/>
      <c r="BF44" s="12"/>
      <c r="BG44" s="12"/>
      <c r="BH44" s="43"/>
      <c r="BI44" s="12"/>
    </row>
    <row r="45" spans="1:61" x14ac:dyDescent="0.3">
      <c r="A45" s="40"/>
      <c r="B45" s="83"/>
      <c r="C45" s="15"/>
      <c r="D45" s="15"/>
      <c r="E45" s="49"/>
      <c r="F45" s="80"/>
      <c r="G45" s="76"/>
      <c r="H45" s="76">
        <f t="shared" si="1"/>
        <v>0</v>
      </c>
      <c r="I45" s="17"/>
      <c r="J45" s="42"/>
      <c r="K45" s="40"/>
      <c r="L45" s="84"/>
      <c r="M45" s="39"/>
      <c r="N45" s="20"/>
      <c r="O45" s="46" t="str">
        <f t="shared" si="2"/>
        <v/>
      </c>
      <c r="P45" s="46" t="str">
        <f t="shared" si="3"/>
        <v/>
      </c>
      <c r="Q45" s="21"/>
      <c r="R45" s="72" t="str">
        <f t="shared" si="0"/>
        <v/>
      </c>
      <c r="S45" s="41"/>
      <c r="T45" s="164"/>
      <c r="U45" s="41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5"/>
      <c r="AP45" s="12"/>
      <c r="AQ45" s="12"/>
      <c r="AR45" s="12"/>
      <c r="AS45" s="12"/>
      <c r="AT45" s="12"/>
      <c r="AU45" s="12"/>
      <c r="AV45" s="12"/>
      <c r="AW45" s="12"/>
      <c r="AX45" s="35"/>
      <c r="AY45" s="35"/>
      <c r="AZ45" s="35"/>
      <c r="BA45" s="35"/>
      <c r="BB45" s="35"/>
      <c r="BC45" s="35"/>
      <c r="BD45" s="15"/>
      <c r="BE45" s="35"/>
      <c r="BF45" s="12"/>
      <c r="BG45" s="12"/>
      <c r="BH45" s="43"/>
      <c r="BI45" s="12"/>
    </row>
    <row r="46" spans="1:61" x14ac:dyDescent="0.3">
      <c r="A46" s="40"/>
      <c r="B46" s="83"/>
      <c r="C46" s="15"/>
      <c r="D46" s="15"/>
      <c r="E46" s="49"/>
      <c r="F46" s="80"/>
      <c r="G46" s="76"/>
      <c r="H46" s="76">
        <f t="shared" si="1"/>
        <v>0</v>
      </c>
      <c r="I46" s="17"/>
      <c r="J46" s="42"/>
      <c r="K46" s="40"/>
      <c r="L46" s="84"/>
      <c r="M46" s="39"/>
      <c r="N46" s="20"/>
      <c r="O46" s="46" t="str">
        <f t="shared" si="2"/>
        <v/>
      </c>
      <c r="P46" s="46" t="str">
        <f t="shared" si="3"/>
        <v/>
      </c>
      <c r="Q46" s="21"/>
      <c r="R46" s="72" t="str">
        <f t="shared" si="0"/>
        <v/>
      </c>
      <c r="S46" s="41"/>
      <c r="T46" s="164"/>
      <c r="U46" s="41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5"/>
      <c r="AP46" s="12"/>
      <c r="AQ46" s="12"/>
      <c r="AR46" s="12"/>
      <c r="AS46" s="12"/>
      <c r="AT46" s="12"/>
      <c r="AU46" s="12"/>
      <c r="AV46" s="12"/>
      <c r="AW46" s="12"/>
      <c r="AX46" s="35"/>
      <c r="AY46" s="35"/>
      <c r="AZ46" s="35"/>
      <c r="BA46" s="35"/>
      <c r="BB46" s="35"/>
      <c r="BC46" s="35"/>
      <c r="BD46" s="15"/>
      <c r="BE46" s="35"/>
      <c r="BF46" s="12"/>
      <c r="BG46" s="12"/>
      <c r="BH46" s="43"/>
      <c r="BI46" s="12"/>
    </row>
    <row r="47" spans="1:61" x14ac:dyDescent="0.3">
      <c r="A47" s="40"/>
      <c r="B47" s="83"/>
      <c r="C47" s="15"/>
      <c r="D47" s="15"/>
      <c r="E47" s="49"/>
      <c r="F47" s="80"/>
      <c r="G47" s="76"/>
      <c r="H47" s="76">
        <f t="shared" si="1"/>
        <v>0</v>
      </c>
      <c r="I47" s="17"/>
      <c r="J47" s="42"/>
      <c r="K47" s="40"/>
      <c r="L47" s="84"/>
      <c r="M47" s="39"/>
      <c r="N47" s="20"/>
      <c r="O47" s="46" t="str">
        <f t="shared" si="2"/>
        <v/>
      </c>
      <c r="P47" s="46" t="str">
        <f t="shared" si="3"/>
        <v/>
      </c>
      <c r="Q47" s="21"/>
      <c r="R47" s="72" t="str">
        <f t="shared" si="0"/>
        <v/>
      </c>
      <c r="S47" s="41"/>
      <c r="T47" s="164"/>
      <c r="U47" s="41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5"/>
      <c r="AP47" s="12"/>
      <c r="AQ47" s="12"/>
      <c r="AR47" s="12"/>
      <c r="AS47" s="12"/>
      <c r="AT47" s="12"/>
      <c r="AU47" s="12"/>
      <c r="AV47" s="12"/>
      <c r="AW47" s="12"/>
      <c r="AX47" s="35"/>
      <c r="AY47" s="35"/>
      <c r="AZ47" s="35"/>
      <c r="BA47" s="35"/>
      <c r="BB47" s="35"/>
      <c r="BC47" s="35"/>
      <c r="BD47" s="15"/>
      <c r="BE47" s="35"/>
      <c r="BF47" s="12"/>
      <c r="BG47" s="12"/>
      <c r="BH47" s="43"/>
      <c r="BI47" s="12"/>
    </row>
    <row r="48" spans="1:61" x14ac:dyDescent="0.3">
      <c r="A48" s="40"/>
      <c r="B48" s="83"/>
      <c r="C48" s="15"/>
      <c r="D48" s="15"/>
      <c r="E48" s="49"/>
      <c r="F48" s="80"/>
      <c r="G48" s="76"/>
      <c r="H48" s="76">
        <f t="shared" si="1"/>
        <v>0</v>
      </c>
      <c r="I48" s="17"/>
      <c r="J48" s="42"/>
      <c r="K48" s="40"/>
      <c r="L48" s="84"/>
      <c r="M48" s="39"/>
      <c r="N48" s="20"/>
      <c r="O48" s="46" t="str">
        <f t="shared" si="2"/>
        <v/>
      </c>
      <c r="P48" s="46" t="str">
        <f t="shared" si="3"/>
        <v/>
      </c>
      <c r="Q48" s="21"/>
      <c r="R48" s="72" t="str">
        <f t="shared" si="0"/>
        <v/>
      </c>
      <c r="S48" s="41"/>
      <c r="T48" s="164"/>
      <c r="U48" s="41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5"/>
      <c r="AP48" s="12"/>
      <c r="AQ48" s="12"/>
      <c r="AR48" s="12"/>
      <c r="AS48" s="12"/>
      <c r="AT48" s="12"/>
      <c r="AU48" s="12"/>
      <c r="AV48" s="12"/>
      <c r="AW48" s="12"/>
      <c r="AX48" s="35"/>
      <c r="AY48" s="35"/>
      <c r="AZ48" s="35"/>
      <c r="BA48" s="35"/>
      <c r="BB48" s="35"/>
      <c r="BC48" s="35"/>
      <c r="BD48" s="15"/>
      <c r="BE48" s="35"/>
      <c r="BF48" s="12"/>
      <c r="BG48" s="12"/>
      <c r="BH48" s="43"/>
      <c r="BI48" s="12"/>
    </row>
    <row r="49" spans="1:61" x14ac:dyDescent="0.3">
      <c r="A49" s="40"/>
      <c r="B49" s="83"/>
      <c r="C49" s="15"/>
      <c r="D49" s="15"/>
      <c r="E49" s="49"/>
      <c r="F49" s="80"/>
      <c r="G49" s="76"/>
      <c r="H49" s="76">
        <f t="shared" si="1"/>
        <v>0</v>
      </c>
      <c r="I49" s="17"/>
      <c r="J49" s="42"/>
      <c r="K49" s="40"/>
      <c r="L49" s="84"/>
      <c r="M49" s="39"/>
      <c r="N49" s="20"/>
      <c r="O49" s="46" t="str">
        <f t="shared" si="2"/>
        <v/>
      </c>
      <c r="P49" s="46" t="str">
        <f t="shared" si="3"/>
        <v/>
      </c>
      <c r="Q49" s="21"/>
      <c r="R49" s="72" t="str">
        <f t="shared" si="0"/>
        <v/>
      </c>
      <c r="S49" s="41"/>
      <c r="T49" s="164"/>
      <c r="U49" s="41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5"/>
      <c r="AP49" s="12"/>
      <c r="AQ49" s="12"/>
      <c r="AR49" s="12"/>
      <c r="AS49" s="12"/>
      <c r="AT49" s="12"/>
      <c r="AU49" s="12"/>
      <c r="AV49" s="12"/>
      <c r="AW49" s="12"/>
      <c r="AX49" s="35"/>
      <c r="AY49" s="35"/>
      <c r="AZ49" s="35"/>
      <c r="BA49" s="35"/>
      <c r="BB49" s="35"/>
      <c r="BC49" s="35"/>
      <c r="BD49" s="15"/>
      <c r="BE49" s="35"/>
      <c r="BF49" s="12"/>
      <c r="BG49" s="12"/>
      <c r="BH49" s="43"/>
      <c r="BI49" s="12"/>
    </row>
    <row r="50" spans="1:61" x14ac:dyDescent="0.3">
      <c r="A50" s="40"/>
      <c r="B50" s="83"/>
      <c r="C50" s="15"/>
      <c r="D50" s="15"/>
      <c r="E50" s="49"/>
      <c r="F50" s="80"/>
      <c r="G50" s="76"/>
      <c r="H50" s="76">
        <f t="shared" si="1"/>
        <v>0</v>
      </c>
      <c r="I50" s="17"/>
      <c r="J50" s="42"/>
      <c r="K50" s="40"/>
      <c r="L50" s="84"/>
      <c r="M50" s="39"/>
      <c r="N50" s="20"/>
      <c r="O50" s="46" t="str">
        <f t="shared" si="2"/>
        <v/>
      </c>
      <c r="P50" s="46" t="str">
        <f t="shared" si="3"/>
        <v/>
      </c>
      <c r="Q50" s="21"/>
      <c r="R50" s="72" t="str">
        <f t="shared" si="0"/>
        <v/>
      </c>
      <c r="S50" s="41"/>
      <c r="T50" s="164"/>
      <c r="U50" s="41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5"/>
      <c r="AP50" s="12"/>
      <c r="AQ50" s="12"/>
      <c r="AR50" s="12"/>
      <c r="AS50" s="12"/>
      <c r="AT50" s="12"/>
      <c r="AU50" s="12"/>
      <c r="AV50" s="12"/>
      <c r="AW50" s="12"/>
      <c r="AX50" s="35"/>
      <c r="AY50" s="35"/>
      <c r="AZ50" s="35"/>
      <c r="BA50" s="35"/>
      <c r="BB50" s="35"/>
      <c r="BC50" s="35"/>
      <c r="BD50" s="15"/>
      <c r="BE50" s="35"/>
      <c r="BF50" s="12"/>
      <c r="BG50" s="12"/>
      <c r="BH50" s="43"/>
      <c r="BI50" s="12"/>
    </row>
    <row r="51" spans="1:61" x14ac:dyDescent="0.3">
      <c r="A51" s="40"/>
      <c r="B51" s="83"/>
      <c r="C51" s="15"/>
      <c r="D51" s="15"/>
      <c r="E51" s="49"/>
      <c r="F51" s="80"/>
      <c r="G51" s="76"/>
      <c r="H51" s="76">
        <f t="shared" si="1"/>
        <v>0</v>
      </c>
      <c r="I51" s="17"/>
      <c r="J51" s="42"/>
      <c r="K51" s="40"/>
      <c r="L51" s="84"/>
      <c r="M51" s="39"/>
      <c r="N51" s="20"/>
      <c r="O51" s="46" t="str">
        <f t="shared" si="2"/>
        <v/>
      </c>
      <c r="P51" s="46" t="str">
        <f t="shared" si="3"/>
        <v/>
      </c>
      <c r="Q51" s="21"/>
      <c r="R51" s="72" t="str">
        <f t="shared" si="0"/>
        <v/>
      </c>
      <c r="S51" s="41"/>
      <c r="T51" s="164"/>
      <c r="U51" s="41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5"/>
      <c r="AP51" s="12"/>
      <c r="AQ51" s="12"/>
      <c r="AR51" s="12"/>
      <c r="AS51" s="12"/>
      <c r="AT51" s="12"/>
      <c r="AU51" s="12"/>
      <c r="AV51" s="12"/>
      <c r="AW51" s="12"/>
      <c r="AX51" s="35"/>
      <c r="AY51" s="35"/>
      <c r="AZ51" s="35"/>
      <c r="BA51" s="35"/>
      <c r="BB51" s="35"/>
      <c r="BC51" s="35"/>
      <c r="BD51" s="15"/>
      <c r="BE51" s="35"/>
      <c r="BF51" s="12"/>
      <c r="BG51" s="12"/>
      <c r="BH51" s="43"/>
      <c r="BI51" s="12"/>
    </row>
    <row r="52" spans="1:61" x14ac:dyDescent="0.3">
      <c r="A52" s="40"/>
      <c r="B52" s="83"/>
      <c r="C52" s="15"/>
      <c r="D52" s="15"/>
      <c r="E52" s="49"/>
      <c r="F52" s="80"/>
      <c r="G52" s="76"/>
      <c r="H52" s="76">
        <f t="shared" si="1"/>
        <v>0</v>
      </c>
      <c r="I52" s="17"/>
      <c r="J52" s="42"/>
      <c r="K52" s="40"/>
      <c r="L52" s="84"/>
      <c r="M52" s="39"/>
      <c r="N52" s="20"/>
      <c r="O52" s="46" t="str">
        <f t="shared" si="2"/>
        <v/>
      </c>
      <c r="P52" s="46" t="str">
        <f t="shared" si="3"/>
        <v/>
      </c>
      <c r="Q52" s="21"/>
      <c r="R52" s="72" t="str">
        <f t="shared" si="0"/>
        <v/>
      </c>
      <c r="S52" s="41"/>
      <c r="T52" s="164"/>
      <c r="U52" s="41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5"/>
      <c r="AP52" s="12"/>
      <c r="AQ52" s="12"/>
      <c r="AR52" s="12"/>
      <c r="AS52" s="12"/>
      <c r="AT52" s="12"/>
      <c r="AU52" s="12"/>
      <c r="AV52" s="12"/>
      <c r="AW52" s="12"/>
      <c r="AX52" s="35"/>
      <c r="AY52" s="35"/>
      <c r="AZ52" s="35"/>
      <c r="BA52" s="35"/>
      <c r="BB52" s="35"/>
      <c r="BC52" s="35"/>
      <c r="BD52" s="15"/>
      <c r="BE52" s="35"/>
      <c r="BF52" s="12"/>
      <c r="BG52" s="12"/>
      <c r="BH52" s="43"/>
      <c r="BI52" s="12"/>
    </row>
    <row r="53" spans="1:61" x14ac:dyDescent="0.3">
      <c r="A53" s="40"/>
      <c r="B53" s="83"/>
      <c r="C53" s="15"/>
      <c r="D53" s="15"/>
      <c r="E53" s="49"/>
      <c r="F53" s="80"/>
      <c r="G53" s="76"/>
      <c r="H53" s="76">
        <f t="shared" si="1"/>
        <v>0</v>
      </c>
      <c r="I53" s="17"/>
      <c r="J53" s="42"/>
      <c r="K53" s="40"/>
      <c r="L53" s="84"/>
      <c r="M53" s="39"/>
      <c r="N53" s="20"/>
      <c r="O53" s="46" t="str">
        <f t="shared" si="2"/>
        <v/>
      </c>
      <c r="P53" s="46" t="str">
        <f t="shared" si="3"/>
        <v/>
      </c>
      <c r="Q53" s="21"/>
      <c r="R53" s="72" t="str">
        <f t="shared" si="0"/>
        <v/>
      </c>
      <c r="S53" s="41"/>
      <c r="T53" s="164"/>
      <c r="U53" s="41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5"/>
      <c r="AP53" s="12"/>
      <c r="AQ53" s="12"/>
      <c r="AR53" s="12"/>
      <c r="AS53" s="12"/>
      <c r="AT53" s="12"/>
      <c r="AU53" s="12"/>
      <c r="AV53" s="12"/>
      <c r="AW53" s="12"/>
      <c r="AX53" s="35"/>
      <c r="AY53" s="35"/>
      <c r="AZ53" s="35"/>
      <c r="BA53" s="35"/>
      <c r="BB53" s="35"/>
      <c r="BC53" s="35"/>
      <c r="BD53" s="15"/>
      <c r="BE53" s="35"/>
      <c r="BF53" s="12"/>
      <c r="BG53" s="12"/>
      <c r="BH53" s="43"/>
      <c r="BI53" s="12"/>
    </row>
    <row r="54" spans="1:61" x14ac:dyDescent="0.3">
      <c r="A54" s="40"/>
      <c r="B54" s="83"/>
      <c r="C54" s="15"/>
      <c r="D54" s="15"/>
      <c r="E54" s="49"/>
      <c r="F54" s="80"/>
      <c r="G54" s="76"/>
      <c r="H54" s="76">
        <f t="shared" si="1"/>
        <v>0</v>
      </c>
      <c r="I54" s="17"/>
      <c r="J54" s="42"/>
      <c r="K54" s="40"/>
      <c r="L54" s="84"/>
      <c r="M54" s="39"/>
      <c r="N54" s="20"/>
      <c r="O54" s="46" t="str">
        <f t="shared" si="2"/>
        <v/>
      </c>
      <c r="P54" s="46" t="str">
        <f t="shared" si="3"/>
        <v/>
      </c>
      <c r="Q54" s="21"/>
      <c r="R54" s="72" t="str">
        <f t="shared" si="0"/>
        <v/>
      </c>
      <c r="S54" s="41"/>
      <c r="T54" s="164"/>
      <c r="U54" s="41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5"/>
      <c r="AP54" s="12"/>
      <c r="AQ54" s="12"/>
      <c r="AR54" s="12"/>
      <c r="AS54" s="12"/>
      <c r="AT54" s="12"/>
      <c r="AU54" s="12"/>
      <c r="AV54" s="12"/>
      <c r="AW54" s="12"/>
      <c r="AX54" s="35"/>
      <c r="AY54" s="35"/>
      <c r="AZ54" s="35"/>
      <c r="BA54" s="35"/>
      <c r="BB54" s="35"/>
      <c r="BC54" s="35"/>
      <c r="BD54" s="15"/>
      <c r="BE54" s="35"/>
      <c r="BF54" s="12"/>
      <c r="BG54" s="12"/>
      <c r="BH54" s="43"/>
      <c r="BI54" s="12"/>
    </row>
    <row r="55" spans="1:61" x14ac:dyDescent="0.3">
      <c r="A55" s="40"/>
      <c r="B55" s="83"/>
      <c r="C55" s="15"/>
      <c r="D55" s="15"/>
      <c r="E55" s="49"/>
      <c r="F55" s="80"/>
      <c r="G55" s="76"/>
      <c r="H55" s="76">
        <f t="shared" si="1"/>
        <v>0</v>
      </c>
      <c r="I55" s="17"/>
      <c r="J55" s="42"/>
      <c r="K55" s="40"/>
      <c r="L55" s="84"/>
      <c r="M55" s="39"/>
      <c r="N55" s="20"/>
      <c r="O55" s="46" t="str">
        <f t="shared" si="2"/>
        <v/>
      </c>
      <c r="P55" s="46" t="str">
        <f t="shared" si="3"/>
        <v/>
      </c>
      <c r="Q55" s="21"/>
      <c r="R55" s="72" t="str">
        <f t="shared" si="0"/>
        <v/>
      </c>
      <c r="S55" s="41"/>
      <c r="T55" s="164"/>
      <c r="U55" s="41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5"/>
      <c r="AP55" s="12"/>
      <c r="AQ55" s="12"/>
      <c r="AR55" s="12"/>
      <c r="AS55" s="12"/>
      <c r="AT55" s="12"/>
      <c r="AU55" s="12"/>
      <c r="AV55" s="12"/>
      <c r="AW55" s="12"/>
      <c r="AX55" s="35"/>
      <c r="AY55" s="35"/>
      <c r="AZ55" s="35"/>
      <c r="BA55" s="35"/>
      <c r="BB55" s="35"/>
      <c r="BC55" s="35"/>
      <c r="BD55" s="15"/>
      <c r="BE55" s="35"/>
      <c r="BF55" s="12"/>
      <c r="BG55" s="12"/>
      <c r="BH55" s="43"/>
      <c r="BI55" s="12"/>
    </row>
    <row r="56" spans="1:61" x14ac:dyDescent="0.3">
      <c r="A56" s="40"/>
      <c r="B56" s="83"/>
      <c r="C56" s="15"/>
      <c r="D56" s="15"/>
      <c r="E56" s="49"/>
      <c r="F56" s="80"/>
      <c r="G56" s="76"/>
      <c r="H56" s="76">
        <f t="shared" si="1"/>
        <v>0</v>
      </c>
      <c r="I56" s="17"/>
      <c r="J56" s="42"/>
      <c r="K56" s="40"/>
      <c r="L56" s="84"/>
      <c r="M56" s="39"/>
      <c r="N56" s="20"/>
      <c r="O56" s="46" t="str">
        <f t="shared" si="2"/>
        <v/>
      </c>
      <c r="P56" s="46" t="str">
        <f t="shared" si="3"/>
        <v/>
      </c>
      <c r="Q56" s="21"/>
      <c r="R56" s="72" t="str">
        <f t="shared" si="0"/>
        <v/>
      </c>
      <c r="S56" s="41"/>
      <c r="T56" s="164"/>
      <c r="U56" s="41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5"/>
      <c r="AP56" s="12"/>
      <c r="AQ56" s="12"/>
      <c r="AR56" s="12"/>
      <c r="AS56" s="12"/>
      <c r="AT56" s="12"/>
      <c r="AU56" s="12"/>
      <c r="AV56" s="12"/>
      <c r="AW56" s="12"/>
      <c r="AX56" s="35"/>
      <c r="AY56" s="35"/>
      <c r="AZ56" s="35"/>
      <c r="BA56" s="35"/>
      <c r="BB56" s="35"/>
      <c r="BC56" s="35"/>
      <c r="BD56" s="15"/>
      <c r="BE56" s="35"/>
      <c r="BF56" s="12"/>
      <c r="BG56" s="12"/>
      <c r="BH56" s="43"/>
      <c r="BI56" s="12"/>
    </row>
    <row r="57" spans="1:61" x14ac:dyDescent="0.3">
      <c r="A57" s="40"/>
      <c r="B57" s="83"/>
      <c r="C57" s="15"/>
      <c r="D57" s="15"/>
      <c r="E57" s="49"/>
      <c r="F57" s="80"/>
      <c r="G57" s="76"/>
      <c r="H57" s="76">
        <f t="shared" si="1"/>
        <v>0</v>
      </c>
      <c r="I57" s="17"/>
      <c r="J57" s="42"/>
      <c r="K57" s="40"/>
      <c r="L57" s="84"/>
      <c r="M57" s="39"/>
      <c r="N57" s="20"/>
      <c r="O57" s="46" t="str">
        <f t="shared" si="2"/>
        <v/>
      </c>
      <c r="P57" s="46" t="str">
        <f t="shared" si="3"/>
        <v/>
      </c>
      <c r="Q57" s="21"/>
      <c r="R57" s="72" t="str">
        <f t="shared" si="0"/>
        <v/>
      </c>
      <c r="S57" s="41"/>
      <c r="T57" s="164"/>
      <c r="U57" s="41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5"/>
      <c r="AP57" s="12"/>
      <c r="AQ57" s="12"/>
      <c r="AR57" s="12"/>
      <c r="AS57" s="12"/>
      <c r="AT57" s="12"/>
      <c r="AU57" s="12"/>
      <c r="AV57" s="12"/>
      <c r="AW57" s="12"/>
      <c r="AX57" s="35"/>
      <c r="AY57" s="35"/>
      <c r="AZ57" s="35"/>
      <c r="BA57" s="35"/>
      <c r="BB57" s="35"/>
      <c r="BC57" s="35"/>
      <c r="BD57" s="15"/>
      <c r="BE57" s="35"/>
      <c r="BF57" s="12"/>
      <c r="BG57" s="12"/>
      <c r="BH57" s="43"/>
      <c r="BI57" s="12"/>
    </row>
    <row r="58" spans="1:61" x14ac:dyDescent="0.3">
      <c r="A58" s="40"/>
      <c r="B58" s="83"/>
      <c r="C58" s="15"/>
      <c r="D58" s="15"/>
      <c r="E58" s="49"/>
      <c r="F58" s="80"/>
      <c r="G58" s="76"/>
      <c r="H58" s="76">
        <f t="shared" si="1"/>
        <v>0</v>
      </c>
      <c r="I58" s="17"/>
      <c r="J58" s="42"/>
      <c r="K58" s="40"/>
      <c r="L58" s="84"/>
      <c r="M58" s="39"/>
      <c r="N58" s="20"/>
      <c r="O58" s="46" t="str">
        <f t="shared" si="2"/>
        <v/>
      </c>
      <c r="P58" s="46" t="str">
        <f t="shared" si="3"/>
        <v/>
      </c>
      <c r="Q58" s="21"/>
      <c r="R58" s="72" t="str">
        <f t="shared" si="0"/>
        <v/>
      </c>
      <c r="S58" s="41"/>
      <c r="T58" s="164"/>
      <c r="U58" s="41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5"/>
      <c r="AP58" s="12"/>
      <c r="AQ58" s="12"/>
      <c r="AR58" s="12"/>
      <c r="AS58" s="12"/>
      <c r="AT58" s="12"/>
      <c r="AU58" s="12"/>
      <c r="AV58" s="12"/>
      <c r="AW58" s="12"/>
      <c r="AX58" s="35"/>
      <c r="AY58" s="35"/>
      <c r="AZ58" s="35"/>
      <c r="BA58" s="35"/>
      <c r="BB58" s="35"/>
      <c r="BC58" s="35"/>
      <c r="BD58" s="15"/>
      <c r="BE58" s="35"/>
      <c r="BF58" s="12"/>
      <c r="BG58" s="12"/>
      <c r="BH58" s="43"/>
      <c r="BI58" s="12"/>
    </row>
    <row r="59" spans="1:61" x14ac:dyDescent="0.3">
      <c r="A59" s="40"/>
      <c r="B59" s="83"/>
      <c r="C59" s="15"/>
      <c r="D59" s="15"/>
      <c r="E59" s="49"/>
      <c r="F59" s="80"/>
      <c r="G59" s="76"/>
      <c r="H59" s="76">
        <f t="shared" si="1"/>
        <v>0</v>
      </c>
      <c r="I59" s="17"/>
      <c r="J59" s="42"/>
      <c r="K59" s="40"/>
      <c r="L59" s="84"/>
      <c r="M59" s="39"/>
      <c r="N59" s="20"/>
      <c r="O59" s="46" t="str">
        <f t="shared" si="2"/>
        <v/>
      </c>
      <c r="P59" s="46" t="str">
        <f t="shared" si="3"/>
        <v/>
      </c>
      <c r="Q59" s="21"/>
      <c r="R59" s="72" t="str">
        <f t="shared" si="0"/>
        <v/>
      </c>
      <c r="S59" s="41"/>
      <c r="T59" s="164"/>
      <c r="U59" s="41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5"/>
      <c r="AP59" s="12"/>
      <c r="AQ59" s="12"/>
      <c r="AR59" s="12"/>
      <c r="AS59" s="12"/>
      <c r="AT59" s="12"/>
      <c r="AU59" s="12"/>
      <c r="AV59" s="12"/>
      <c r="AW59" s="12"/>
      <c r="AX59" s="35"/>
      <c r="AY59" s="35"/>
      <c r="AZ59" s="35"/>
      <c r="BA59" s="35"/>
      <c r="BB59" s="35"/>
      <c r="BC59" s="35"/>
      <c r="BD59" s="15"/>
      <c r="BE59" s="35"/>
      <c r="BF59" s="12"/>
      <c r="BG59" s="12"/>
      <c r="BH59" s="43"/>
      <c r="BI59" s="12"/>
    </row>
    <row r="60" spans="1:61" x14ac:dyDescent="0.3">
      <c r="A60" s="40"/>
      <c r="B60" s="83"/>
      <c r="C60" s="15"/>
      <c r="D60" s="15"/>
      <c r="E60" s="49"/>
      <c r="F60" s="80"/>
      <c r="G60" s="76"/>
      <c r="H60" s="76">
        <f t="shared" si="1"/>
        <v>0</v>
      </c>
      <c r="I60" s="17"/>
      <c r="J60" s="42"/>
      <c r="K60" s="40"/>
      <c r="L60" s="84"/>
      <c r="M60" s="39"/>
      <c r="N60" s="20"/>
      <c r="O60" s="46" t="str">
        <f t="shared" si="2"/>
        <v/>
      </c>
      <c r="P60" s="46" t="str">
        <f t="shared" si="3"/>
        <v/>
      </c>
      <c r="Q60" s="21"/>
      <c r="R60" s="72" t="str">
        <f t="shared" si="0"/>
        <v/>
      </c>
      <c r="S60" s="41"/>
      <c r="T60" s="164"/>
      <c r="U60" s="41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5"/>
      <c r="AP60" s="12"/>
      <c r="AQ60" s="12"/>
      <c r="AR60" s="12"/>
      <c r="AS60" s="12"/>
      <c r="AT60" s="12"/>
      <c r="AU60" s="12"/>
      <c r="AV60" s="12"/>
      <c r="AW60" s="12"/>
      <c r="AX60" s="35"/>
      <c r="AY60" s="35"/>
      <c r="AZ60" s="35"/>
      <c r="BA60" s="35"/>
      <c r="BB60" s="35"/>
      <c r="BC60" s="35"/>
      <c r="BD60" s="15"/>
      <c r="BE60" s="35"/>
      <c r="BF60" s="12"/>
      <c r="BG60" s="12"/>
      <c r="BH60" s="43"/>
      <c r="BI60" s="12"/>
    </row>
    <row r="61" spans="1:61" x14ac:dyDescent="0.3">
      <c r="A61" s="40"/>
      <c r="B61" s="83"/>
      <c r="C61" s="15"/>
      <c r="D61" s="15"/>
      <c r="E61" s="49"/>
      <c r="F61" s="80"/>
      <c r="G61" s="76"/>
      <c r="H61" s="76">
        <f t="shared" si="1"/>
        <v>0</v>
      </c>
      <c r="I61" s="17"/>
      <c r="J61" s="42"/>
      <c r="K61" s="40"/>
      <c r="L61" s="84"/>
      <c r="M61" s="39"/>
      <c r="N61" s="20"/>
      <c r="O61" s="46" t="str">
        <f t="shared" si="2"/>
        <v/>
      </c>
      <c r="P61" s="46" t="str">
        <f t="shared" si="3"/>
        <v/>
      </c>
      <c r="Q61" s="21"/>
      <c r="R61" s="72" t="str">
        <f t="shared" si="0"/>
        <v/>
      </c>
      <c r="S61" s="41"/>
      <c r="T61" s="164"/>
      <c r="U61" s="41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5"/>
      <c r="AP61" s="12"/>
      <c r="AQ61" s="12"/>
      <c r="AR61" s="12"/>
      <c r="AS61" s="12"/>
      <c r="AT61" s="12"/>
      <c r="AU61" s="12"/>
      <c r="AV61" s="12"/>
      <c r="AW61" s="12"/>
      <c r="AX61" s="35"/>
      <c r="AY61" s="35"/>
      <c r="AZ61" s="35"/>
      <c r="BA61" s="35"/>
      <c r="BB61" s="35"/>
      <c r="BC61" s="35"/>
      <c r="BD61" s="15"/>
      <c r="BE61" s="35"/>
      <c r="BF61" s="12"/>
      <c r="BG61" s="12"/>
      <c r="BH61" s="43"/>
      <c r="BI61" s="12"/>
    </row>
    <row r="62" spans="1:61" x14ac:dyDescent="0.3">
      <c r="A62" s="40"/>
      <c r="B62" s="83"/>
      <c r="C62" s="15"/>
      <c r="D62" s="15"/>
      <c r="E62" s="49"/>
      <c r="F62" s="80"/>
      <c r="G62" s="76"/>
      <c r="H62" s="76">
        <f t="shared" si="1"/>
        <v>0</v>
      </c>
      <c r="I62" s="17"/>
      <c r="J62" s="42"/>
      <c r="K62" s="40"/>
      <c r="L62" s="84"/>
      <c r="M62" s="39"/>
      <c r="N62" s="20"/>
      <c r="O62" s="46" t="str">
        <f t="shared" si="2"/>
        <v/>
      </c>
      <c r="P62" s="46" t="str">
        <f t="shared" si="3"/>
        <v/>
      </c>
      <c r="Q62" s="21"/>
      <c r="R62" s="72" t="str">
        <f t="shared" si="0"/>
        <v/>
      </c>
      <c r="S62" s="41"/>
      <c r="T62" s="164"/>
      <c r="U62" s="41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5"/>
      <c r="AP62" s="12"/>
      <c r="AQ62" s="12"/>
      <c r="AR62" s="12"/>
      <c r="AS62" s="12"/>
      <c r="AT62" s="12"/>
      <c r="AU62" s="12"/>
      <c r="AV62" s="12"/>
      <c r="AW62" s="12"/>
      <c r="AX62" s="35"/>
      <c r="AY62" s="35"/>
      <c r="AZ62" s="35"/>
      <c r="BA62" s="35"/>
      <c r="BB62" s="35"/>
      <c r="BC62" s="35"/>
      <c r="BD62" s="15"/>
      <c r="BE62" s="35"/>
      <c r="BF62" s="12"/>
      <c r="BG62" s="12"/>
      <c r="BH62" s="43"/>
      <c r="BI62" s="12"/>
    </row>
    <row r="63" spans="1:61" x14ac:dyDescent="0.3">
      <c r="A63" s="40"/>
      <c r="B63" s="83"/>
      <c r="C63" s="15"/>
      <c r="D63" s="15"/>
      <c r="E63" s="49"/>
      <c r="F63" s="80"/>
      <c r="G63" s="76"/>
      <c r="H63" s="76">
        <f t="shared" si="1"/>
        <v>0</v>
      </c>
      <c r="I63" s="17"/>
      <c r="J63" s="42"/>
      <c r="K63" s="40"/>
      <c r="L63" s="84"/>
      <c r="M63" s="39"/>
      <c r="N63" s="20"/>
      <c r="O63" s="46" t="str">
        <f t="shared" si="2"/>
        <v/>
      </c>
      <c r="P63" s="46" t="str">
        <f t="shared" si="3"/>
        <v/>
      </c>
      <c r="Q63" s="21"/>
      <c r="R63" s="72" t="str">
        <f t="shared" si="0"/>
        <v/>
      </c>
      <c r="S63" s="41"/>
      <c r="T63" s="164"/>
      <c r="U63" s="41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5"/>
      <c r="AP63" s="12"/>
      <c r="AQ63" s="12"/>
      <c r="AR63" s="12"/>
      <c r="AS63" s="12"/>
      <c r="AT63" s="12"/>
      <c r="AU63" s="12"/>
      <c r="AV63" s="12"/>
      <c r="AW63" s="12"/>
      <c r="AX63" s="35"/>
      <c r="AY63" s="35"/>
      <c r="AZ63" s="35"/>
      <c r="BA63" s="35"/>
      <c r="BB63" s="35"/>
      <c r="BC63" s="35"/>
      <c r="BD63" s="15"/>
      <c r="BE63" s="35"/>
      <c r="BF63" s="12"/>
      <c r="BG63" s="12"/>
      <c r="BH63" s="43"/>
      <c r="BI63" s="12"/>
    </row>
    <row r="64" spans="1:61" x14ac:dyDescent="0.3">
      <c r="A64" s="40"/>
      <c r="B64" s="83"/>
      <c r="C64" s="15"/>
      <c r="D64" s="15"/>
      <c r="E64" s="49"/>
      <c r="F64" s="80"/>
      <c r="G64" s="76"/>
      <c r="H64" s="76">
        <f t="shared" si="1"/>
        <v>0</v>
      </c>
      <c r="I64" s="17"/>
      <c r="J64" s="42"/>
      <c r="K64" s="40"/>
      <c r="L64" s="84"/>
      <c r="M64" s="39"/>
      <c r="N64" s="20"/>
      <c r="O64" s="46" t="str">
        <f t="shared" si="2"/>
        <v/>
      </c>
      <c r="P64" s="46" t="str">
        <f t="shared" si="3"/>
        <v/>
      </c>
      <c r="Q64" s="21"/>
      <c r="R64" s="72" t="str">
        <f t="shared" si="0"/>
        <v/>
      </c>
      <c r="S64" s="41"/>
      <c r="T64" s="164"/>
      <c r="U64" s="41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5"/>
      <c r="AP64" s="12"/>
      <c r="AQ64" s="12"/>
      <c r="AR64" s="12"/>
      <c r="AS64" s="12"/>
      <c r="AT64" s="12"/>
      <c r="AU64" s="12"/>
      <c r="AV64" s="12"/>
      <c r="AW64" s="12"/>
      <c r="AX64" s="35"/>
      <c r="AY64" s="35"/>
      <c r="AZ64" s="35"/>
      <c r="BA64" s="35"/>
      <c r="BB64" s="35"/>
      <c r="BC64" s="35"/>
      <c r="BD64" s="15"/>
      <c r="BE64" s="35"/>
      <c r="BF64" s="12"/>
      <c r="BG64" s="12"/>
      <c r="BH64" s="43"/>
      <c r="BI64" s="12"/>
    </row>
    <row r="65" spans="1:61" x14ac:dyDescent="0.3">
      <c r="A65" s="40"/>
      <c r="B65" s="83"/>
      <c r="C65" s="15"/>
      <c r="D65" s="15"/>
      <c r="E65" s="49"/>
      <c r="F65" s="80"/>
      <c r="G65" s="76"/>
      <c r="H65" s="76">
        <f t="shared" si="1"/>
        <v>0</v>
      </c>
      <c r="I65" s="17"/>
      <c r="J65" s="42"/>
      <c r="K65" s="40"/>
      <c r="L65" s="84"/>
      <c r="M65" s="39"/>
      <c r="N65" s="20"/>
      <c r="O65" s="46" t="str">
        <f t="shared" si="2"/>
        <v/>
      </c>
      <c r="P65" s="46" t="str">
        <f t="shared" si="3"/>
        <v/>
      </c>
      <c r="Q65" s="21"/>
      <c r="R65" s="72" t="str">
        <f t="shared" si="0"/>
        <v/>
      </c>
      <c r="S65" s="41"/>
      <c r="T65" s="164"/>
      <c r="U65" s="41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5"/>
      <c r="AP65" s="12"/>
      <c r="AQ65" s="12"/>
      <c r="AR65" s="12"/>
      <c r="AS65" s="12"/>
      <c r="AT65" s="12"/>
      <c r="AU65" s="12"/>
      <c r="AV65" s="12"/>
      <c r="AW65" s="12"/>
      <c r="AX65" s="35"/>
      <c r="AY65" s="35"/>
      <c r="AZ65" s="35"/>
      <c r="BA65" s="35"/>
      <c r="BB65" s="35"/>
      <c r="BC65" s="35"/>
      <c r="BD65" s="15"/>
      <c r="BE65" s="35"/>
      <c r="BF65" s="12"/>
      <c r="BG65" s="12"/>
      <c r="BH65" s="43"/>
      <c r="BI65" s="12"/>
    </row>
    <row r="66" spans="1:61" x14ac:dyDescent="0.3">
      <c r="A66" s="40"/>
      <c r="B66" s="83"/>
      <c r="C66" s="15"/>
      <c r="D66" s="15"/>
      <c r="E66" s="49"/>
      <c r="F66" s="80"/>
      <c r="G66" s="76"/>
      <c r="H66" s="76">
        <f t="shared" si="1"/>
        <v>0</v>
      </c>
      <c r="I66" s="17"/>
      <c r="J66" s="42"/>
      <c r="K66" s="40"/>
      <c r="L66" s="84"/>
      <c r="M66" s="39"/>
      <c r="N66" s="20"/>
      <c r="O66" s="46" t="str">
        <f t="shared" si="2"/>
        <v/>
      </c>
      <c r="P66" s="46" t="str">
        <f t="shared" si="3"/>
        <v/>
      </c>
      <c r="Q66" s="21"/>
      <c r="R66" s="72" t="str">
        <f t="shared" si="0"/>
        <v/>
      </c>
      <c r="S66" s="41"/>
      <c r="T66" s="164"/>
      <c r="U66" s="41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5"/>
      <c r="AP66" s="12"/>
      <c r="AQ66" s="12"/>
      <c r="AR66" s="12"/>
      <c r="AS66" s="12"/>
      <c r="AT66" s="12"/>
      <c r="AU66" s="12"/>
      <c r="AV66" s="12"/>
      <c r="AW66" s="12"/>
      <c r="AX66" s="35"/>
      <c r="AY66" s="35"/>
      <c r="AZ66" s="35"/>
      <c r="BA66" s="35"/>
      <c r="BB66" s="35"/>
      <c r="BC66" s="35"/>
      <c r="BD66" s="15"/>
      <c r="BE66" s="35"/>
      <c r="BF66" s="12"/>
      <c r="BG66" s="12"/>
      <c r="BH66" s="43"/>
      <c r="BI66" s="12"/>
    </row>
    <row r="67" spans="1:61" x14ac:dyDescent="0.3">
      <c r="A67" s="40"/>
      <c r="B67" s="83"/>
      <c r="C67" s="15"/>
      <c r="D67" s="15"/>
      <c r="E67" s="49"/>
      <c r="F67" s="80"/>
      <c r="G67" s="76"/>
      <c r="H67" s="76">
        <f t="shared" si="1"/>
        <v>0</v>
      </c>
      <c r="I67" s="17"/>
      <c r="J67" s="42"/>
      <c r="K67" s="40"/>
      <c r="L67" s="84"/>
      <c r="M67" s="39"/>
      <c r="N67" s="20"/>
      <c r="O67" s="46" t="str">
        <f t="shared" si="2"/>
        <v/>
      </c>
      <c r="P67" s="46" t="str">
        <f t="shared" si="3"/>
        <v/>
      </c>
      <c r="Q67" s="21"/>
      <c r="R67" s="72" t="str">
        <f t="shared" si="0"/>
        <v/>
      </c>
      <c r="S67" s="41"/>
      <c r="T67" s="164"/>
      <c r="U67" s="41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5"/>
      <c r="AP67" s="12"/>
      <c r="AQ67" s="12"/>
      <c r="AR67" s="12"/>
      <c r="AS67" s="12"/>
      <c r="AT67" s="12"/>
      <c r="AU67" s="12"/>
      <c r="AV67" s="12"/>
      <c r="AW67" s="12"/>
      <c r="AX67" s="35"/>
      <c r="AY67" s="35"/>
      <c r="AZ67" s="35"/>
      <c r="BA67" s="35"/>
      <c r="BB67" s="35"/>
      <c r="BC67" s="35"/>
      <c r="BD67" s="15"/>
      <c r="BE67" s="35"/>
      <c r="BF67" s="12"/>
      <c r="BG67" s="12"/>
      <c r="BH67" s="43"/>
      <c r="BI67" s="12"/>
    </row>
    <row r="68" spans="1:61" x14ac:dyDescent="0.3">
      <c r="A68" s="40"/>
      <c r="B68" s="83"/>
      <c r="C68" s="15"/>
      <c r="D68" s="15"/>
      <c r="E68" s="49"/>
      <c r="F68" s="80"/>
      <c r="G68" s="76"/>
      <c r="H68" s="76">
        <f t="shared" si="1"/>
        <v>0</v>
      </c>
      <c r="I68" s="17"/>
      <c r="J68" s="42"/>
      <c r="K68" s="40"/>
      <c r="L68" s="84"/>
      <c r="M68" s="39"/>
      <c r="N68" s="20"/>
      <c r="O68" s="46" t="str">
        <f t="shared" si="2"/>
        <v/>
      </c>
      <c r="P68" s="46" t="str">
        <f t="shared" si="3"/>
        <v/>
      </c>
      <c r="Q68" s="21"/>
      <c r="R68" s="72" t="str">
        <f t="shared" si="0"/>
        <v/>
      </c>
      <c r="S68" s="41"/>
      <c r="T68" s="164"/>
      <c r="U68" s="41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5"/>
      <c r="AP68" s="12"/>
      <c r="AQ68" s="12"/>
      <c r="AR68" s="12"/>
      <c r="AS68" s="12"/>
      <c r="AT68" s="12"/>
      <c r="AU68" s="12"/>
      <c r="AV68" s="12"/>
      <c r="AW68" s="12"/>
      <c r="AX68" s="35"/>
      <c r="AY68" s="35"/>
      <c r="AZ68" s="35"/>
      <c r="BA68" s="35"/>
      <c r="BB68" s="35"/>
      <c r="BC68" s="35"/>
      <c r="BD68" s="15"/>
      <c r="BE68" s="35"/>
      <c r="BF68" s="12"/>
      <c r="BG68" s="12"/>
      <c r="BH68" s="43"/>
      <c r="BI68" s="12"/>
    </row>
    <row r="69" spans="1:61" x14ac:dyDescent="0.3">
      <c r="A69" s="40"/>
      <c r="B69" s="83"/>
      <c r="C69" s="15"/>
      <c r="D69" s="15"/>
      <c r="E69" s="49"/>
      <c r="F69" s="80"/>
      <c r="G69" s="76"/>
      <c r="H69" s="76">
        <f t="shared" si="1"/>
        <v>0</v>
      </c>
      <c r="I69" s="17"/>
      <c r="J69" s="42"/>
      <c r="K69" s="40"/>
      <c r="L69" s="84"/>
      <c r="M69" s="39"/>
      <c r="N69" s="20"/>
      <c r="O69" s="46" t="str">
        <f t="shared" si="2"/>
        <v/>
      </c>
      <c r="P69" s="46" t="str">
        <f t="shared" si="3"/>
        <v/>
      </c>
      <c r="Q69" s="21"/>
      <c r="R69" s="72" t="str">
        <f t="shared" si="0"/>
        <v/>
      </c>
      <c r="S69" s="41"/>
      <c r="T69" s="164"/>
      <c r="U69" s="41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5"/>
      <c r="AP69" s="12"/>
      <c r="AQ69" s="12"/>
      <c r="AR69" s="12"/>
      <c r="AS69" s="12"/>
      <c r="AT69" s="12"/>
      <c r="AU69" s="12"/>
      <c r="AV69" s="12"/>
      <c r="AW69" s="12"/>
      <c r="AX69" s="35"/>
      <c r="AY69" s="35"/>
      <c r="AZ69" s="35"/>
      <c r="BA69" s="35"/>
      <c r="BB69" s="35"/>
      <c r="BC69" s="35"/>
      <c r="BD69" s="15"/>
      <c r="BE69" s="35"/>
      <c r="BF69" s="12"/>
      <c r="BG69" s="12"/>
      <c r="BH69" s="43"/>
      <c r="BI69" s="12"/>
    </row>
    <row r="70" spans="1:61" x14ac:dyDescent="0.3">
      <c r="A70" s="40"/>
      <c r="B70" s="83"/>
      <c r="C70" s="15"/>
      <c r="D70" s="15"/>
      <c r="E70" s="49"/>
      <c r="F70" s="80"/>
      <c r="G70" s="76"/>
      <c r="H70" s="76">
        <f t="shared" si="1"/>
        <v>0</v>
      </c>
      <c r="I70" s="17"/>
      <c r="J70" s="42"/>
      <c r="K70" s="40"/>
      <c r="L70" s="84"/>
      <c r="M70" s="39"/>
      <c r="N70" s="20"/>
      <c r="O70" s="46" t="str">
        <f t="shared" si="2"/>
        <v/>
      </c>
      <c r="P70" s="46" t="str">
        <f t="shared" si="3"/>
        <v/>
      </c>
      <c r="Q70" s="21"/>
      <c r="R70" s="72" t="str">
        <f t="shared" si="0"/>
        <v/>
      </c>
      <c r="S70" s="41"/>
      <c r="T70" s="164"/>
      <c r="U70" s="41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5"/>
      <c r="AP70" s="12"/>
      <c r="AQ70" s="12"/>
      <c r="AR70" s="12"/>
      <c r="AS70" s="12"/>
      <c r="AT70" s="12"/>
      <c r="AU70" s="12"/>
      <c r="AV70" s="12"/>
      <c r="AW70" s="12"/>
      <c r="AX70" s="35"/>
      <c r="AY70" s="35"/>
      <c r="AZ70" s="35"/>
      <c r="BA70" s="35"/>
      <c r="BB70" s="35"/>
      <c r="BC70" s="35"/>
      <c r="BD70" s="15"/>
      <c r="BE70" s="35"/>
      <c r="BF70" s="12"/>
      <c r="BG70" s="12"/>
      <c r="BH70" s="43"/>
      <c r="BI70" s="12"/>
    </row>
    <row r="71" spans="1:61" x14ac:dyDescent="0.3">
      <c r="A71" s="40"/>
      <c r="B71" s="83"/>
      <c r="C71" s="15"/>
      <c r="D71" s="15"/>
      <c r="E71" s="49"/>
      <c r="F71" s="80"/>
      <c r="G71" s="76"/>
      <c r="H71" s="76">
        <f t="shared" si="1"/>
        <v>0</v>
      </c>
      <c r="I71" s="17"/>
      <c r="J71" s="42"/>
      <c r="K71" s="40"/>
      <c r="L71" s="84"/>
      <c r="M71" s="39"/>
      <c r="N71" s="20"/>
      <c r="O71" s="46" t="str">
        <f t="shared" si="2"/>
        <v/>
      </c>
      <c r="P71" s="46" t="str">
        <f t="shared" si="3"/>
        <v/>
      </c>
      <c r="Q71" s="21"/>
      <c r="R71" s="72" t="str">
        <f t="shared" si="0"/>
        <v/>
      </c>
      <c r="S71" s="41"/>
      <c r="T71" s="164"/>
      <c r="U71" s="41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5"/>
      <c r="AP71" s="12"/>
      <c r="AQ71" s="12"/>
      <c r="AR71" s="12"/>
      <c r="AS71" s="12"/>
      <c r="AT71" s="12"/>
      <c r="AU71" s="12"/>
      <c r="AV71" s="12"/>
      <c r="AW71" s="12"/>
      <c r="AX71" s="35"/>
      <c r="AY71" s="35"/>
      <c r="AZ71" s="35"/>
      <c r="BA71" s="35"/>
      <c r="BB71" s="35"/>
      <c r="BC71" s="35"/>
      <c r="BD71" s="15"/>
      <c r="BE71" s="35"/>
      <c r="BF71" s="12"/>
      <c r="BG71" s="12"/>
      <c r="BH71" s="43"/>
      <c r="BI71" s="12"/>
    </row>
    <row r="72" spans="1:61" x14ac:dyDescent="0.3">
      <c r="A72" s="40"/>
      <c r="B72" s="83"/>
      <c r="C72" s="15"/>
      <c r="D72" s="15"/>
      <c r="E72" s="49"/>
      <c r="F72" s="80"/>
      <c r="G72" s="76"/>
      <c r="H72" s="76">
        <f t="shared" si="1"/>
        <v>0</v>
      </c>
      <c r="I72" s="17"/>
      <c r="J72" s="42"/>
      <c r="K72" s="40"/>
      <c r="L72" s="84"/>
      <c r="M72" s="39"/>
      <c r="N72" s="20"/>
      <c r="O72" s="46" t="str">
        <f t="shared" si="2"/>
        <v/>
      </c>
      <c r="P72" s="46" t="str">
        <f t="shared" si="3"/>
        <v/>
      </c>
      <c r="Q72" s="21"/>
      <c r="R72" s="72" t="str">
        <f t="shared" si="0"/>
        <v/>
      </c>
      <c r="S72" s="41"/>
      <c r="T72" s="164"/>
      <c r="U72" s="41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5"/>
      <c r="AP72" s="12"/>
      <c r="AQ72" s="12"/>
      <c r="AR72" s="12"/>
      <c r="AS72" s="12"/>
      <c r="AT72" s="12"/>
      <c r="AU72" s="12"/>
      <c r="AV72" s="12"/>
      <c r="AW72" s="12"/>
      <c r="AX72" s="35"/>
      <c r="AY72" s="35"/>
      <c r="AZ72" s="35"/>
      <c r="BA72" s="35"/>
      <c r="BB72" s="35"/>
      <c r="BC72" s="35"/>
      <c r="BD72" s="15"/>
      <c r="BE72" s="35"/>
      <c r="BF72" s="12"/>
      <c r="BG72" s="12"/>
      <c r="BH72" s="43"/>
      <c r="BI72" s="12"/>
    </row>
    <row r="73" spans="1:61" x14ac:dyDescent="0.3">
      <c r="A73" s="40"/>
      <c r="B73" s="83"/>
      <c r="C73" s="15"/>
      <c r="D73" s="15"/>
      <c r="E73" s="49"/>
      <c r="F73" s="80"/>
      <c r="G73" s="76"/>
      <c r="H73" s="76">
        <f t="shared" si="1"/>
        <v>0</v>
      </c>
      <c r="I73" s="17"/>
      <c r="J73" s="42"/>
      <c r="K73" s="40"/>
      <c r="L73" s="84"/>
      <c r="M73" s="39"/>
      <c r="N73" s="20"/>
      <c r="O73" s="46" t="str">
        <f t="shared" si="2"/>
        <v/>
      </c>
      <c r="P73" s="46" t="str">
        <f t="shared" si="3"/>
        <v/>
      </c>
      <c r="Q73" s="21"/>
      <c r="R73" s="72" t="str">
        <f t="shared" si="0"/>
        <v/>
      </c>
      <c r="S73" s="41"/>
      <c r="T73" s="164"/>
      <c r="U73" s="41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5"/>
      <c r="AP73" s="12"/>
      <c r="AQ73" s="12"/>
      <c r="AR73" s="12"/>
      <c r="AS73" s="12"/>
      <c r="AT73" s="12"/>
      <c r="AU73" s="12"/>
      <c r="AV73" s="12"/>
      <c r="AW73" s="12"/>
      <c r="AX73" s="35"/>
      <c r="AY73" s="35"/>
      <c r="AZ73" s="35"/>
      <c r="BA73" s="35"/>
      <c r="BB73" s="35"/>
      <c r="BC73" s="35"/>
      <c r="BD73" s="15"/>
      <c r="BE73" s="35"/>
      <c r="BF73" s="12"/>
      <c r="BG73" s="12"/>
      <c r="BH73" s="43"/>
      <c r="BI73" s="12"/>
    </row>
    <row r="74" spans="1:61" x14ac:dyDescent="0.3">
      <c r="A74" s="40"/>
      <c r="B74" s="83"/>
      <c r="C74" s="15"/>
      <c r="D74" s="15"/>
      <c r="E74" s="49"/>
      <c r="F74" s="80"/>
      <c r="G74" s="76"/>
      <c r="H74" s="76">
        <f t="shared" si="1"/>
        <v>0</v>
      </c>
      <c r="I74" s="17"/>
      <c r="J74" s="42"/>
      <c r="K74" s="40"/>
      <c r="L74" s="84"/>
      <c r="M74" s="39"/>
      <c r="N74" s="20"/>
      <c r="O74" s="46" t="str">
        <f t="shared" si="2"/>
        <v/>
      </c>
      <c r="P74" s="46" t="str">
        <f t="shared" si="3"/>
        <v/>
      </c>
      <c r="Q74" s="21"/>
      <c r="R74" s="72" t="str">
        <f t="shared" si="0"/>
        <v/>
      </c>
      <c r="S74" s="41"/>
      <c r="T74" s="164"/>
      <c r="U74" s="41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5"/>
      <c r="AP74" s="12"/>
      <c r="AQ74" s="12"/>
      <c r="AR74" s="12"/>
      <c r="AS74" s="12"/>
      <c r="AT74" s="12"/>
      <c r="AU74" s="12"/>
      <c r="AV74" s="12"/>
      <c r="AW74" s="12"/>
      <c r="AX74" s="35"/>
      <c r="AY74" s="35"/>
      <c r="AZ74" s="35"/>
      <c r="BA74" s="35"/>
      <c r="BB74" s="35"/>
      <c r="BC74" s="35"/>
      <c r="BD74" s="15"/>
      <c r="BE74" s="35"/>
      <c r="BF74" s="12"/>
      <c r="BG74" s="12"/>
      <c r="BH74" s="43"/>
      <c r="BI74" s="12"/>
    </row>
    <row r="75" spans="1:61" x14ac:dyDescent="0.3">
      <c r="A75" s="40"/>
      <c r="B75" s="83"/>
      <c r="C75" s="15"/>
      <c r="D75" s="15"/>
      <c r="E75" s="49"/>
      <c r="F75" s="80"/>
      <c r="G75" s="76"/>
      <c r="H75" s="76">
        <f t="shared" si="1"/>
        <v>0</v>
      </c>
      <c r="I75" s="17"/>
      <c r="J75" s="42"/>
      <c r="K75" s="40"/>
      <c r="L75" s="84"/>
      <c r="M75" s="39"/>
      <c r="N75" s="20"/>
      <c r="O75" s="46" t="str">
        <f t="shared" si="2"/>
        <v/>
      </c>
      <c r="P75" s="46" t="str">
        <f t="shared" si="3"/>
        <v/>
      </c>
      <c r="Q75" s="21"/>
      <c r="R75" s="72" t="str">
        <f t="shared" si="0"/>
        <v/>
      </c>
      <c r="S75" s="41"/>
      <c r="T75" s="164"/>
      <c r="U75" s="41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5"/>
      <c r="AP75" s="12"/>
      <c r="AQ75" s="12"/>
      <c r="AR75" s="12"/>
      <c r="AS75" s="12"/>
      <c r="AT75" s="12"/>
      <c r="AU75" s="12"/>
      <c r="AV75" s="12"/>
      <c r="AW75" s="12"/>
      <c r="AX75" s="35"/>
      <c r="AY75" s="35"/>
      <c r="AZ75" s="35"/>
      <c r="BA75" s="35"/>
      <c r="BB75" s="35"/>
      <c r="BC75" s="35"/>
      <c r="BD75" s="15"/>
      <c r="BE75" s="35"/>
      <c r="BF75" s="12"/>
      <c r="BG75" s="12"/>
      <c r="BH75" s="43"/>
      <c r="BI75" s="12"/>
    </row>
    <row r="76" spans="1:61" x14ac:dyDescent="0.3">
      <c r="A76" s="40"/>
      <c r="B76" s="83"/>
      <c r="C76" s="15"/>
      <c r="D76" s="15"/>
      <c r="E76" s="49"/>
      <c r="F76" s="80"/>
      <c r="G76" s="76"/>
      <c r="H76" s="76">
        <f t="shared" si="1"/>
        <v>0</v>
      </c>
      <c r="I76" s="17"/>
      <c r="J76" s="42"/>
      <c r="K76" s="40"/>
      <c r="L76" s="84"/>
      <c r="M76" s="39"/>
      <c r="N76" s="20"/>
      <c r="O76" s="46" t="str">
        <f t="shared" si="2"/>
        <v/>
      </c>
      <c r="P76" s="46" t="str">
        <f t="shared" si="3"/>
        <v/>
      </c>
      <c r="Q76" s="21"/>
      <c r="R76" s="72" t="str">
        <f t="shared" si="0"/>
        <v/>
      </c>
      <c r="S76" s="41"/>
      <c r="T76" s="164"/>
      <c r="U76" s="41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5"/>
      <c r="AP76" s="12"/>
      <c r="AQ76" s="12"/>
      <c r="AR76" s="12"/>
      <c r="AS76" s="12"/>
      <c r="AT76" s="12"/>
      <c r="AU76" s="12"/>
      <c r="AV76" s="12"/>
      <c r="AW76" s="12"/>
      <c r="AX76" s="35"/>
      <c r="AY76" s="35"/>
      <c r="AZ76" s="35"/>
      <c r="BA76" s="35"/>
      <c r="BB76" s="35"/>
      <c r="BC76" s="35"/>
      <c r="BD76" s="15"/>
      <c r="BE76" s="35"/>
      <c r="BF76" s="12"/>
      <c r="BG76" s="12"/>
      <c r="BH76" s="43"/>
      <c r="BI76" s="12"/>
    </row>
    <row r="77" spans="1:61" x14ac:dyDescent="0.3">
      <c r="A77" s="40"/>
      <c r="B77" s="83"/>
      <c r="C77" s="15"/>
      <c r="D77" s="15"/>
      <c r="E77" s="49"/>
      <c r="F77" s="80"/>
      <c r="G77" s="76"/>
      <c r="H77" s="76">
        <f t="shared" si="1"/>
        <v>0</v>
      </c>
      <c r="I77" s="17"/>
      <c r="J77" s="42"/>
      <c r="K77" s="40"/>
      <c r="L77" s="84"/>
      <c r="M77" s="39"/>
      <c r="N77" s="20"/>
      <c r="O77" s="46" t="str">
        <f t="shared" si="2"/>
        <v/>
      </c>
      <c r="P77" s="46" t="str">
        <f t="shared" si="3"/>
        <v/>
      </c>
      <c r="Q77" s="21"/>
      <c r="R77" s="72" t="str">
        <f t="shared" si="0"/>
        <v/>
      </c>
      <c r="S77" s="41"/>
      <c r="T77" s="164"/>
      <c r="U77" s="41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5"/>
      <c r="AP77" s="12"/>
      <c r="AQ77" s="12"/>
      <c r="AR77" s="12"/>
      <c r="AS77" s="12"/>
      <c r="AT77" s="12"/>
      <c r="AU77" s="12"/>
      <c r="AV77" s="12"/>
      <c r="AW77" s="12"/>
      <c r="AX77" s="35"/>
      <c r="AY77" s="35"/>
      <c r="AZ77" s="35"/>
      <c r="BA77" s="35"/>
      <c r="BB77" s="35"/>
      <c r="BC77" s="35"/>
      <c r="BD77" s="15"/>
      <c r="BE77" s="35"/>
      <c r="BF77" s="12"/>
      <c r="BG77" s="12"/>
      <c r="BH77" s="43"/>
      <c r="BI77" s="12"/>
    </row>
    <row r="78" spans="1:61" x14ac:dyDescent="0.3">
      <c r="A78" s="40"/>
      <c r="B78" s="83"/>
      <c r="C78" s="15"/>
      <c r="D78" s="15"/>
      <c r="E78" s="49"/>
      <c r="F78" s="80"/>
      <c r="G78" s="76"/>
      <c r="H78" s="76">
        <f t="shared" si="1"/>
        <v>0</v>
      </c>
      <c r="I78" s="17"/>
      <c r="J78" s="42"/>
      <c r="K78" s="40"/>
      <c r="L78" s="84"/>
      <c r="M78" s="39"/>
      <c r="N78" s="20"/>
      <c r="O78" s="46" t="str">
        <f t="shared" si="2"/>
        <v/>
      </c>
      <c r="P78" s="46" t="str">
        <f t="shared" si="3"/>
        <v/>
      </c>
      <c r="Q78" s="21"/>
      <c r="R78" s="72" t="str">
        <f t="shared" si="0"/>
        <v/>
      </c>
      <c r="S78" s="41"/>
      <c r="T78" s="164"/>
      <c r="U78" s="41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5"/>
      <c r="AP78" s="12"/>
      <c r="AQ78" s="12"/>
      <c r="AR78" s="12"/>
      <c r="AS78" s="12"/>
      <c r="AT78" s="12"/>
      <c r="AU78" s="12"/>
      <c r="AV78" s="12"/>
      <c r="AW78" s="12"/>
      <c r="AX78" s="35"/>
      <c r="AY78" s="35"/>
      <c r="AZ78" s="35"/>
      <c r="BA78" s="35"/>
      <c r="BB78" s="35"/>
      <c r="BC78" s="35"/>
      <c r="BD78" s="15"/>
      <c r="BE78" s="35"/>
      <c r="BF78" s="12"/>
      <c r="BG78" s="12"/>
      <c r="BH78" s="43"/>
      <c r="BI78" s="12"/>
    </row>
    <row r="79" spans="1:61" x14ac:dyDescent="0.3">
      <c r="A79" s="40"/>
      <c r="B79" s="83"/>
      <c r="C79" s="15"/>
      <c r="D79" s="15"/>
      <c r="E79" s="49"/>
      <c r="F79" s="80"/>
      <c r="G79" s="76"/>
      <c r="H79" s="76">
        <f t="shared" si="1"/>
        <v>0</v>
      </c>
      <c r="I79" s="17"/>
      <c r="J79" s="42"/>
      <c r="K79" s="40"/>
      <c r="L79" s="84"/>
      <c r="M79" s="39"/>
      <c r="N79" s="20"/>
      <c r="O79" s="46" t="str">
        <f t="shared" si="2"/>
        <v/>
      </c>
      <c r="P79" s="46" t="str">
        <f t="shared" si="3"/>
        <v/>
      </c>
      <c r="Q79" s="21"/>
      <c r="R79" s="72" t="str">
        <f t="shared" si="0"/>
        <v/>
      </c>
      <c r="S79" s="41"/>
      <c r="T79" s="164"/>
      <c r="U79" s="41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5"/>
      <c r="AP79" s="12"/>
      <c r="AQ79" s="12"/>
      <c r="AR79" s="12"/>
      <c r="AS79" s="12"/>
      <c r="AT79" s="12"/>
      <c r="AU79" s="12"/>
      <c r="AV79" s="12"/>
      <c r="AW79" s="12"/>
      <c r="AX79" s="35"/>
      <c r="AY79" s="35"/>
      <c r="AZ79" s="35"/>
      <c r="BA79" s="35"/>
      <c r="BB79" s="35"/>
      <c r="BC79" s="35"/>
      <c r="BD79" s="15"/>
      <c r="BE79" s="35"/>
      <c r="BF79" s="12"/>
      <c r="BG79" s="12"/>
      <c r="BH79" s="43"/>
      <c r="BI79" s="12"/>
    </row>
    <row r="80" spans="1:61" x14ac:dyDescent="0.3">
      <c r="A80" s="40"/>
      <c r="B80" s="83"/>
      <c r="C80" s="15"/>
      <c r="D80" s="15"/>
      <c r="E80" s="49"/>
      <c r="F80" s="80"/>
      <c r="G80" s="76"/>
      <c r="H80" s="76">
        <f t="shared" si="1"/>
        <v>0</v>
      </c>
      <c r="I80" s="17"/>
      <c r="J80" s="42"/>
      <c r="K80" s="40"/>
      <c r="L80" s="84"/>
      <c r="M80" s="39"/>
      <c r="N80" s="20"/>
      <c r="O80" s="46" t="str">
        <f t="shared" si="2"/>
        <v/>
      </c>
      <c r="P80" s="46" t="str">
        <f t="shared" si="3"/>
        <v/>
      </c>
      <c r="Q80" s="21"/>
      <c r="R80" s="72" t="str">
        <f t="shared" si="0"/>
        <v/>
      </c>
      <c r="S80" s="41"/>
      <c r="T80" s="164"/>
      <c r="U80" s="41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5"/>
      <c r="AP80" s="12"/>
      <c r="AQ80" s="12"/>
      <c r="AR80" s="12"/>
      <c r="AS80" s="12"/>
      <c r="AT80" s="12"/>
      <c r="AU80" s="12"/>
      <c r="AV80" s="12"/>
      <c r="AW80" s="12"/>
      <c r="AX80" s="35"/>
      <c r="AY80" s="35"/>
      <c r="AZ80" s="35"/>
      <c r="BA80" s="35"/>
      <c r="BB80" s="35"/>
      <c r="BC80" s="35"/>
      <c r="BD80" s="15"/>
      <c r="BE80" s="35"/>
      <c r="BF80" s="12"/>
      <c r="BG80" s="12"/>
      <c r="BH80" s="43"/>
      <c r="BI80" s="12"/>
    </row>
    <row r="81" spans="1:61" x14ac:dyDescent="0.3">
      <c r="A81" s="40"/>
      <c r="B81" s="83"/>
      <c r="C81" s="15"/>
      <c r="D81" s="15"/>
      <c r="E81" s="49"/>
      <c r="F81" s="80"/>
      <c r="G81" s="76"/>
      <c r="H81" s="76">
        <f t="shared" si="1"/>
        <v>0</v>
      </c>
      <c r="I81" s="17"/>
      <c r="J81" s="42"/>
      <c r="K81" s="40"/>
      <c r="L81" s="84"/>
      <c r="M81" s="39"/>
      <c r="N81" s="20"/>
      <c r="O81" s="46" t="str">
        <f t="shared" si="2"/>
        <v/>
      </c>
      <c r="P81" s="46" t="str">
        <f t="shared" si="3"/>
        <v/>
      </c>
      <c r="Q81" s="21"/>
      <c r="R81" s="72" t="str">
        <f t="shared" si="0"/>
        <v/>
      </c>
      <c r="S81" s="41"/>
      <c r="T81" s="164"/>
      <c r="U81" s="41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5"/>
      <c r="AP81" s="12"/>
      <c r="AQ81" s="12"/>
      <c r="AR81" s="12"/>
      <c r="AS81" s="12"/>
      <c r="AT81" s="12"/>
      <c r="AU81" s="12"/>
      <c r="AV81" s="12"/>
      <c r="AW81" s="12"/>
      <c r="AX81" s="35"/>
      <c r="AY81" s="35"/>
      <c r="AZ81" s="35"/>
      <c r="BA81" s="35"/>
      <c r="BB81" s="35"/>
      <c r="BC81" s="35"/>
      <c r="BD81" s="15"/>
      <c r="BE81" s="35"/>
      <c r="BF81" s="12"/>
      <c r="BG81" s="12"/>
      <c r="BH81" s="43"/>
      <c r="BI81" s="12"/>
    </row>
    <row r="82" spans="1:61" x14ac:dyDescent="0.3">
      <c r="A82" s="40"/>
      <c r="B82" s="83"/>
      <c r="C82" s="15"/>
      <c r="D82" s="15"/>
      <c r="E82" s="49"/>
      <c r="F82" s="80"/>
      <c r="G82" s="76"/>
      <c r="H82" s="76">
        <f t="shared" si="1"/>
        <v>0</v>
      </c>
      <c r="I82" s="17"/>
      <c r="J82" s="42"/>
      <c r="K82" s="40"/>
      <c r="L82" s="84"/>
      <c r="M82" s="39"/>
      <c r="N82" s="20"/>
      <c r="O82" s="46" t="str">
        <f t="shared" si="2"/>
        <v/>
      </c>
      <c r="P82" s="46" t="str">
        <f t="shared" si="3"/>
        <v/>
      </c>
      <c r="Q82" s="21"/>
      <c r="R82" s="72" t="str">
        <f t="shared" si="0"/>
        <v/>
      </c>
      <c r="S82" s="41"/>
      <c r="T82" s="164"/>
      <c r="U82" s="41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5"/>
      <c r="AP82" s="12"/>
      <c r="AQ82" s="12"/>
      <c r="AR82" s="12"/>
      <c r="AS82" s="12"/>
      <c r="AT82" s="12"/>
      <c r="AU82" s="12"/>
      <c r="AV82" s="12"/>
      <c r="AW82" s="12"/>
      <c r="AX82" s="35"/>
      <c r="AY82" s="35"/>
      <c r="AZ82" s="35"/>
      <c r="BA82" s="35"/>
      <c r="BB82" s="35"/>
      <c r="BC82" s="35"/>
      <c r="BD82" s="15"/>
      <c r="BE82" s="35"/>
      <c r="BF82" s="12"/>
      <c r="BG82" s="12"/>
      <c r="BH82" s="43"/>
      <c r="BI82" s="12"/>
    </row>
    <row r="83" spans="1:61" x14ac:dyDescent="0.3">
      <c r="A83" s="40"/>
      <c r="B83" s="83"/>
      <c r="C83" s="15"/>
      <c r="D83" s="15"/>
      <c r="E83" s="49"/>
      <c r="F83" s="80"/>
      <c r="G83" s="76"/>
      <c r="H83" s="76">
        <f t="shared" si="1"/>
        <v>0</v>
      </c>
      <c r="I83" s="17"/>
      <c r="J83" s="42"/>
      <c r="K83" s="40"/>
      <c r="L83" s="84"/>
      <c r="M83" s="39"/>
      <c r="N83" s="20"/>
      <c r="O83" s="46" t="str">
        <f t="shared" si="2"/>
        <v/>
      </c>
      <c r="P83" s="46" t="str">
        <f t="shared" si="3"/>
        <v/>
      </c>
      <c r="Q83" s="21"/>
      <c r="R83" s="72" t="str">
        <f t="shared" ref="R83:R122" si="4">IF(N83="","",(Q83-P83)/Q83)</f>
        <v/>
      </c>
      <c r="S83" s="41"/>
      <c r="T83" s="164"/>
      <c r="U83" s="41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5"/>
      <c r="AP83" s="12"/>
      <c r="AQ83" s="12"/>
      <c r="AR83" s="12"/>
      <c r="AS83" s="12"/>
      <c r="AT83" s="12"/>
      <c r="AU83" s="12"/>
      <c r="AV83" s="12"/>
      <c r="AW83" s="12"/>
      <c r="AX83" s="35"/>
      <c r="AY83" s="35"/>
      <c r="AZ83" s="35"/>
      <c r="BA83" s="35"/>
      <c r="BB83" s="35"/>
      <c r="BC83" s="35"/>
      <c r="BD83" s="15"/>
      <c r="BE83" s="35"/>
      <c r="BF83" s="12"/>
      <c r="BG83" s="12"/>
      <c r="BH83" s="43"/>
      <c r="BI83" s="12"/>
    </row>
    <row r="84" spans="1:61" x14ac:dyDescent="0.3">
      <c r="A84" s="40"/>
      <c r="B84" s="83"/>
      <c r="C84" s="15"/>
      <c r="D84" s="15"/>
      <c r="E84" s="49"/>
      <c r="F84" s="80"/>
      <c r="G84" s="76"/>
      <c r="H84" s="76">
        <f t="shared" ref="H84:H122" si="5">E84*(IF(E84,G84))</f>
        <v>0</v>
      </c>
      <c r="I84" s="17"/>
      <c r="J84" s="42"/>
      <c r="K84" s="40"/>
      <c r="L84" s="84"/>
      <c r="M84" s="39"/>
      <c r="N84" s="20"/>
      <c r="O84" s="46" t="str">
        <f t="shared" ref="O84:O122" si="6">IF(N84="","",(O$17*N84)+N84)</f>
        <v/>
      </c>
      <c r="P84" s="46" t="str">
        <f t="shared" ref="P84:P122" si="7">IF(O84="","",SUM(O84/K84))</f>
        <v/>
      </c>
      <c r="Q84" s="21"/>
      <c r="R84" s="72" t="str">
        <f t="shared" si="4"/>
        <v/>
      </c>
      <c r="S84" s="41"/>
      <c r="T84" s="164"/>
      <c r="U84" s="41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5"/>
      <c r="AP84" s="12"/>
      <c r="AQ84" s="12"/>
      <c r="AR84" s="12"/>
      <c r="AS84" s="12"/>
      <c r="AT84" s="12"/>
      <c r="AU84" s="12"/>
      <c r="AV84" s="12"/>
      <c r="AW84" s="12"/>
      <c r="AX84" s="35"/>
      <c r="AY84" s="35"/>
      <c r="AZ84" s="35"/>
      <c r="BA84" s="35"/>
      <c r="BB84" s="35"/>
      <c r="BC84" s="35"/>
      <c r="BD84" s="15"/>
      <c r="BE84" s="35"/>
      <c r="BF84" s="12"/>
      <c r="BG84" s="12"/>
      <c r="BH84" s="43"/>
      <c r="BI84" s="12"/>
    </row>
    <row r="85" spans="1:61" x14ac:dyDescent="0.3">
      <c r="A85" s="40"/>
      <c r="B85" s="83"/>
      <c r="C85" s="15"/>
      <c r="D85" s="15"/>
      <c r="E85" s="49"/>
      <c r="F85" s="80"/>
      <c r="G85" s="76"/>
      <c r="H85" s="76">
        <f t="shared" si="5"/>
        <v>0</v>
      </c>
      <c r="I85" s="17"/>
      <c r="J85" s="42"/>
      <c r="K85" s="40"/>
      <c r="L85" s="84"/>
      <c r="M85" s="39"/>
      <c r="N85" s="20"/>
      <c r="O85" s="46" t="str">
        <f t="shared" si="6"/>
        <v/>
      </c>
      <c r="P85" s="46" t="str">
        <f t="shared" si="7"/>
        <v/>
      </c>
      <c r="Q85" s="21"/>
      <c r="R85" s="72" t="str">
        <f t="shared" si="4"/>
        <v/>
      </c>
      <c r="S85" s="41"/>
      <c r="T85" s="164"/>
      <c r="U85" s="41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5"/>
      <c r="AP85" s="12"/>
      <c r="AQ85" s="12"/>
      <c r="AR85" s="12"/>
      <c r="AS85" s="12"/>
      <c r="AT85" s="12"/>
      <c r="AU85" s="12"/>
      <c r="AV85" s="12"/>
      <c r="AW85" s="12"/>
      <c r="AX85" s="35"/>
      <c r="AY85" s="35"/>
      <c r="AZ85" s="35"/>
      <c r="BA85" s="35"/>
      <c r="BB85" s="35"/>
      <c r="BC85" s="35"/>
      <c r="BD85" s="15"/>
      <c r="BE85" s="35"/>
      <c r="BF85" s="12"/>
      <c r="BG85" s="12"/>
      <c r="BH85" s="43"/>
      <c r="BI85" s="12"/>
    </row>
    <row r="86" spans="1:61" x14ac:dyDescent="0.3">
      <c r="A86" s="40"/>
      <c r="B86" s="83"/>
      <c r="C86" s="15"/>
      <c r="D86" s="15"/>
      <c r="E86" s="49"/>
      <c r="F86" s="80"/>
      <c r="G86" s="76"/>
      <c r="H86" s="76">
        <f t="shared" si="5"/>
        <v>0</v>
      </c>
      <c r="I86" s="17"/>
      <c r="J86" s="42"/>
      <c r="K86" s="40"/>
      <c r="L86" s="84"/>
      <c r="M86" s="39"/>
      <c r="N86" s="20"/>
      <c r="O86" s="46" t="str">
        <f t="shared" si="6"/>
        <v/>
      </c>
      <c r="P86" s="46" t="str">
        <f t="shared" si="7"/>
        <v/>
      </c>
      <c r="Q86" s="21"/>
      <c r="R86" s="72" t="str">
        <f t="shared" si="4"/>
        <v/>
      </c>
      <c r="S86" s="41"/>
      <c r="T86" s="164"/>
      <c r="U86" s="41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5"/>
      <c r="AP86" s="12"/>
      <c r="AQ86" s="12"/>
      <c r="AR86" s="12"/>
      <c r="AS86" s="12"/>
      <c r="AT86" s="12"/>
      <c r="AU86" s="12"/>
      <c r="AV86" s="12"/>
      <c r="AW86" s="12"/>
      <c r="AX86" s="35"/>
      <c r="AY86" s="35"/>
      <c r="AZ86" s="35"/>
      <c r="BA86" s="35"/>
      <c r="BB86" s="35"/>
      <c r="BC86" s="35"/>
      <c r="BD86" s="15"/>
      <c r="BE86" s="35"/>
      <c r="BF86" s="12"/>
      <c r="BG86" s="12"/>
      <c r="BH86" s="43"/>
      <c r="BI86" s="12"/>
    </row>
    <row r="87" spans="1:61" x14ac:dyDescent="0.3">
      <c r="A87" s="40"/>
      <c r="B87" s="83"/>
      <c r="C87" s="15"/>
      <c r="D87" s="15"/>
      <c r="E87" s="49"/>
      <c r="F87" s="80"/>
      <c r="G87" s="76"/>
      <c r="H87" s="76">
        <f t="shared" si="5"/>
        <v>0</v>
      </c>
      <c r="I87" s="17"/>
      <c r="J87" s="42"/>
      <c r="K87" s="40"/>
      <c r="L87" s="84"/>
      <c r="M87" s="39"/>
      <c r="N87" s="20"/>
      <c r="O87" s="46" t="str">
        <f t="shared" si="6"/>
        <v/>
      </c>
      <c r="P87" s="46" t="str">
        <f t="shared" si="7"/>
        <v/>
      </c>
      <c r="Q87" s="21"/>
      <c r="R87" s="72" t="str">
        <f t="shared" si="4"/>
        <v/>
      </c>
      <c r="S87" s="41"/>
      <c r="T87" s="164"/>
      <c r="U87" s="41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5"/>
      <c r="AP87" s="12"/>
      <c r="AQ87" s="12"/>
      <c r="AR87" s="12"/>
      <c r="AS87" s="12"/>
      <c r="AT87" s="12"/>
      <c r="AU87" s="12"/>
      <c r="AV87" s="12"/>
      <c r="AW87" s="12"/>
      <c r="AX87" s="35"/>
      <c r="AY87" s="35"/>
      <c r="AZ87" s="35"/>
      <c r="BA87" s="35"/>
      <c r="BB87" s="35"/>
      <c r="BC87" s="35"/>
      <c r="BD87" s="15"/>
      <c r="BE87" s="35"/>
      <c r="BF87" s="12"/>
      <c r="BG87" s="12"/>
      <c r="BH87" s="43"/>
      <c r="BI87" s="12"/>
    </row>
    <row r="88" spans="1:61" x14ac:dyDescent="0.3">
      <c r="A88" s="40"/>
      <c r="B88" s="83"/>
      <c r="C88" s="15"/>
      <c r="D88" s="15"/>
      <c r="E88" s="49"/>
      <c r="F88" s="80"/>
      <c r="G88" s="76"/>
      <c r="H88" s="76">
        <f t="shared" si="5"/>
        <v>0</v>
      </c>
      <c r="I88" s="17"/>
      <c r="J88" s="42"/>
      <c r="K88" s="40"/>
      <c r="L88" s="84"/>
      <c r="M88" s="39"/>
      <c r="N88" s="20"/>
      <c r="O88" s="46" t="str">
        <f t="shared" si="6"/>
        <v/>
      </c>
      <c r="P88" s="46" t="str">
        <f t="shared" si="7"/>
        <v/>
      </c>
      <c r="Q88" s="21"/>
      <c r="R88" s="72" t="str">
        <f t="shared" si="4"/>
        <v/>
      </c>
      <c r="S88" s="41"/>
      <c r="T88" s="164"/>
      <c r="U88" s="41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5"/>
      <c r="AP88" s="12"/>
      <c r="AQ88" s="12"/>
      <c r="AR88" s="12"/>
      <c r="AS88" s="12"/>
      <c r="AT88" s="12"/>
      <c r="AU88" s="12"/>
      <c r="AV88" s="12"/>
      <c r="AW88" s="12"/>
      <c r="AX88" s="35"/>
      <c r="AY88" s="35"/>
      <c r="AZ88" s="35"/>
      <c r="BA88" s="35"/>
      <c r="BB88" s="35"/>
      <c r="BC88" s="35"/>
      <c r="BD88" s="15"/>
      <c r="BE88" s="35"/>
      <c r="BF88" s="12"/>
      <c r="BG88" s="12"/>
      <c r="BH88" s="43"/>
      <c r="BI88" s="12"/>
    </row>
    <row r="89" spans="1:61" x14ac:dyDescent="0.3">
      <c r="A89" s="40"/>
      <c r="B89" s="83"/>
      <c r="C89" s="15"/>
      <c r="D89" s="15"/>
      <c r="E89" s="49"/>
      <c r="F89" s="80"/>
      <c r="G89" s="76"/>
      <c r="H89" s="76">
        <f t="shared" si="5"/>
        <v>0</v>
      </c>
      <c r="I89" s="17"/>
      <c r="J89" s="42"/>
      <c r="K89" s="40"/>
      <c r="L89" s="84"/>
      <c r="M89" s="39"/>
      <c r="N89" s="20"/>
      <c r="O89" s="46" t="str">
        <f t="shared" si="6"/>
        <v/>
      </c>
      <c r="P89" s="46" t="str">
        <f t="shared" si="7"/>
        <v/>
      </c>
      <c r="Q89" s="21"/>
      <c r="R89" s="72" t="str">
        <f t="shared" si="4"/>
        <v/>
      </c>
      <c r="S89" s="41"/>
      <c r="T89" s="164"/>
      <c r="U89" s="41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5"/>
      <c r="AP89" s="12"/>
      <c r="AQ89" s="12"/>
      <c r="AR89" s="12"/>
      <c r="AS89" s="12"/>
      <c r="AT89" s="12"/>
      <c r="AU89" s="12"/>
      <c r="AV89" s="12"/>
      <c r="AW89" s="12"/>
      <c r="AX89" s="35"/>
      <c r="AY89" s="35"/>
      <c r="AZ89" s="35"/>
      <c r="BA89" s="35"/>
      <c r="BB89" s="35"/>
      <c r="BC89" s="35"/>
      <c r="BD89" s="15"/>
      <c r="BE89" s="35"/>
      <c r="BF89" s="12"/>
      <c r="BG89" s="12"/>
      <c r="BH89" s="43"/>
      <c r="BI89" s="12"/>
    </row>
    <row r="90" spans="1:61" x14ac:dyDescent="0.3">
      <c r="A90" s="40"/>
      <c r="B90" s="83"/>
      <c r="C90" s="15"/>
      <c r="D90" s="15"/>
      <c r="E90" s="49"/>
      <c r="F90" s="80"/>
      <c r="G90" s="76"/>
      <c r="H90" s="76">
        <f t="shared" si="5"/>
        <v>0</v>
      </c>
      <c r="I90" s="17"/>
      <c r="J90" s="42"/>
      <c r="K90" s="40"/>
      <c r="L90" s="84"/>
      <c r="M90" s="39"/>
      <c r="N90" s="20"/>
      <c r="O90" s="46" t="str">
        <f t="shared" si="6"/>
        <v/>
      </c>
      <c r="P90" s="46" t="str">
        <f t="shared" si="7"/>
        <v/>
      </c>
      <c r="Q90" s="21"/>
      <c r="R90" s="72" t="str">
        <f t="shared" si="4"/>
        <v/>
      </c>
      <c r="S90" s="41"/>
      <c r="T90" s="164"/>
      <c r="U90" s="41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5"/>
      <c r="AP90" s="12"/>
      <c r="AQ90" s="12"/>
      <c r="AR90" s="12"/>
      <c r="AS90" s="12"/>
      <c r="AT90" s="12"/>
      <c r="AU90" s="12"/>
      <c r="AV90" s="12"/>
      <c r="AW90" s="12"/>
      <c r="AX90" s="35"/>
      <c r="AY90" s="35"/>
      <c r="AZ90" s="35"/>
      <c r="BA90" s="35"/>
      <c r="BB90" s="35"/>
      <c r="BC90" s="35"/>
      <c r="BD90" s="15"/>
      <c r="BE90" s="35"/>
      <c r="BF90" s="12"/>
      <c r="BG90" s="12"/>
      <c r="BH90" s="43"/>
      <c r="BI90" s="12"/>
    </row>
    <row r="91" spans="1:61" x14ac:dyDescent="0.3">
      <c r="A91" s="40"/>
      <c r="B91" s="83"/>
      <c r="C91" s="15"/>
      <c r="D91" s="15"/>
      <c r="E91" s="49"/>
      <c r="F91" s="80"/>
      <c r="G91" s="76"/>
      <c r="H91" s="76">
        <f t="shared" si="5"/>
        <v>0</v>
      </c>
      <c r="I91" s="17"/>
      <c r="J91" s="42"/>
      <c r="K91" s="40"/>
      <c r="L91" s="84"/>
      <c r="M91" s="39"/>
      <c r="N91" s="20"/>
      <c r="O91" s="46" t="str">
        <f t="shared" si="6"/>
        <v/>
      </c>
      <c r="P91" s="46" t="str">
        <f t="shared" si="7"/>
        <v/>
      </c>
      <c r="Q91" s="21"/>
      <c r="R91" s="72" t="str">
        <f t="shared" si="4"/>
        <v/>
      </c>
      <c r="S91" s="41"/>
      <c r="T91" s="164"/>
      <c r="U91" s="41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5"/>
      <c r="AP91" s="12"/>
      <c r="AQ91" s="12"/>
      <c r="AR91" s="12"/>
      <c r="AS91" s="12"/>
      <c r="AT91" s="12"/>
      <c r="AU91" s="12"/>
      <c r="AV91" s="12"/>
      <c r="AW91" s="12"/>
      <c r="AX91" s="35"/>
      <c r="AY91" s="35"/>
      <c r="AZ91" s="35"/>
      <c r="BA91" s="35"/>
      <c r="BB91" s="35"/>
      <c r="BC91" s="35"/>
      <c r="BD91" s="15"/>
      <c r="BE91" s="35"/>
      <c r="BF91" s="12"/>
      <c r="BG91" s="12"/>
      <c r="BH91" s="43"/>
      <c r="BI91" s="12"/>
    </row>
    <row r="92" spans="1:61" x14ac:dyDescent="0.3">
      <c r="A92" s="40"/>
      <c r="B92" s="83"/>
      <c r="C92" s="15"/>
      <c r="D92" s="15"/>
      <c r="E92" s="49"/>
      <c r="F92" s="80"/>
      <c r="G92" s="76"/>
      <c r="H92" s="76">
        <f t="shared" si="5"/>
        <v>0</v>
      </c>
      <c r="I92" s="17"/>
      <c r="J92" s="42"/>
      <c r="K92" s="40"/>
      <c r="L92" s="84"/>
      <c r="M92" s="39"/>
      <c r="N92" s="20"/>
      <c r="O92" s="46" t="str">
        <f t="shared" si="6"/>
        <v/>
      </c>
      <c r="P92" s="46" t="str">
        <f t="shared" si="7"/>
        <v/>
      </c>
      <c r="Q92" s="21"/>
      <c r="R92" s="72" t="str">
        <f t="shared" si="4"/>
        <v/>
      </c>
      <c r="S92" s="41"/>
      <c r="T92" s="164"/>
      <c r="U92" s="41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5"/>
      <c r="AP92" s="12"/>
      <c r="AQ92" s="12"/>
      <c r="AR92" s="12"/>
      <c r="AS92" s="12"/>
      <c r="AT92" s="12"/>
      <c r="AU92" s="12"/>
      <c r="AV92" s="12"/>
      <c r="AW92" s="12"/>
      <c r="AX92" s="35"/>
      <c r="AY92" s="35"/>
      <c r="AZ92" s="35"/>
      <c r="BA92" s="35"/>
      <c r="BB92" s="35"/>
      <c r="BC92" s="35"/>
      <c r="BD92" s="15"/>
      <c r="BE92" s="35"/>
      <c r="BF92" s="12"/>
      <c r="BG92" s="12"/>
      <c r="BH92" s="43"/>
      <c r="BI92" s="12"/>
    </row>
    <row r="93" spans="1:61" x14ac:dyDescent="0.3">
      <c r="A93" s="40"/>
      <c r="B93" s="83"/>
      <c r="C93" s="15"/>
      <c r="D93" s="15"/>
      <c r="E93" s="49"/>
      <c r="F93" s="80"/>
      <c r="G93" s="76"/>
      <c r="H93" s="76">
        <f t="shared" si="5"/>
        <v>0</v>
      </c>
      <c r="I93" s="17"/>
      <c r="J93" s="42"/>
      <c r="K93" s="40"/>
      <c r="L93" s="84"/>
      <c r="M93" s="39"/>
      <c r="N93" s="20"/>
      <c r="O93" s="46" t="str">
        <f t="shared" si="6"/>
        <v/>
      </c>
      <c r="P93" s="46" t="str">
        <f t="shared" si="7"/>
        <v/>
      </c>
      <c r="Q93" s="21"/>
      <c r="R93" s="72" t="str">
        <f t="shared" si="4"/>
        <v/>
      </c>
      <c r="S93" s="41"/>
      <c r="T93" s="164"/>
      <c r="U93" s="41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5"/>
      <c r="AP93" s="12"/>
      <c r="AQ93" s="12"/>
      <c r="AR93" s="12"/>
      <c r="AS93" s="12"/>
      <c r="AT93" s="12"/>
      <c r="AU93" s="12"/>
      <c r="AV93" s="12"/>
      <c r="AW93" s="12"/>
      <c r="AX93" s="35"/>
      <c r="AY93" s="35"/>
      <c r="AZ93" s="35"/>
      <c r="BA93" s="35"/>
      <c r="BB93" s="35"/>
      <c r="BC93" s="35"/>
      <c r="BD93" s="15"/>
      <c r="BE93" s="35"/>
      <c r="BF93" s="12"/>
      <c r="BG93" s="12"/>
      <c r="BH93" s="43"/>
      <c r="BI93" s="12"/>
    </row>
    <row r="94" spans="1:61" x14ac:dyDescent="0.3">
      <c r="A94" s="40"/>
      <c r="B94" s="83"/>
      <c r="C94" s="15"/>
      <c r="D94" s="15"/>
      <c r="E94" s="49"/>
      <c r="F94" s="80"/>
      <c r="G94" s="76"/>
      <c r="H94" s="76">
        <f t="shared" si="5"/>
        <v>0</v>
      </c>
      <c r="I94" s="17"/>
      <c r="J94" s="42"/>
      <c r="K94" s="40"/>
      <c r="L94" s="84"/>
      <c r="M94" s="39"/>
      <c r="N94" s="20"/>
      <c r="O94" s="46" t="str">
        <f t="shared" si="6"/>
        <v/>
      </c>
      <c r="P94" s="46" t="str">
        <f t="shared" si="7"/>
        <v/>
      </c>
      <c r="Q94" s="21"/>
      <c r="R94" s="72" t="str">
        <f t="shared" si="4"/>
        <v/>
      </c>
      <c r="S94" s="41"/>
      <c r="T94" s="164"/>
      <c r="U94" s="41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5"/>
      <c r="AP94" s="12"/>
      <c r="AQ94" s="12"/>
      <c r="AR94" s="12"/>
      <c r="AS94" s="12"/>
      <c r="AT94" s="12"/>
      <c r="AU94" s="12"/>
      <c r="AV94" s="12"/>
      <c r="AW94" s="12"/>
      <c r="AX94" s="35"/>
      <c r="AY94" s="35"/>
      <c r="AZ94" s="35"/>
      <c r="BA94" s="35"/>
      <c r="BB94" s="35"/>
      <c r="BC94" s="35"/>
      <c r="BD94" s="15"/>
      <c r="BE94" s="35"/>
      <c r="BF94" s="12"/>
      <c r="BG94" s="12"/>
      <c r="BH94" s="43"/>
      <c r="BI94" s="12"/>
    </row>
    <row r="95" spans="1:61" x14ac:dyDescent="0.3">
      <c r="A95" s="40"/>
      <c r="B95" s="83"/>
      <c r="C95" s="15"/>
      <c r="D95" s="15"/>
      <c r="E95" s="49"/>
      <c r="F95" s="80"/>
      <c r="G95" s="76"/>
      <c r="H95" s="76">
        <f t="shared" si="5"/>
        <v>0</v>
      </c>
      <c r="I95" s="17"/>
      <c r="J95" s="42"/>
      <c r="K95" s="40"/>
      <c r="L95" s="84"/>
      <c r="M95" s="39"/>
      <c r="N95" s="20"/>
      <c r="O95" s="46" t="str">
        <f t="shared" si="6"/>
        <v/>
      </c>
      <c r="P95" s="46" t="str">
        <f t="shared" si="7"/>
        <v/>
      </c>
      <c r="Q95" s="21"/>
      <c r="R95" s="72" t="str">
        <f t="shared" si="4"/>
        <v/>
      </c>
      <c r="S95" s="41"/>
      <c r="T95" s="164"/>
      <c r="U95" s="41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5"/>
      <c r="AP95" s="12"/>
      <c r="AQ95" s="12"/>
      <c r="AR95" s="12"/>
      <c r="AS95" s="12"/>
      <c r="AT95" s="12"/>
      <c r="AU95" s="12"/>
      <c r="AV95" s="12"/>
      <c r="AW95" s="12"/>
      <c r="AX95" s="35"/>
      <c r="AY95" s="35"/>
      <c r="AZ95" s="35"/>
      <c r="BA95" s="35"/>
      <c r="BB95" s="35"/>
      <c r="BC95" s="35"/>
      <c r="BD95" s="15"/>
      <c r="BE95" s="35"/>
      <c r="BF95" s="12"/>
      <c r="BG95" s="12"/>
      <c r="BH95" s="43"/>
      <c r="BI95" s="12"/>
    </row>
    <row r="96" spans="1:61" x14ac:dyDescent="0.3">
      <c r="A96" s="40"/>
      <c r="B96" s="83"/>
      <c r="C96" s="15"/>
      <c r="D96" s="15"/>
      <c r="E96" s="49"/>
      <c r="F96" s="80"/>
      <c r="G96" s="76"/>
      <c r="H96" s="76">
        <f t="shared" si="5"/>
        <v>0</v>
      </c>
      <c r="I96" s="17"/>
      <c r="J96" s="42"/>
      <c r="K96" s="40"/>
      <c r="L96" s="84"/>
      <c r="M96" s="39"/>
      <c r="N96" s="20"/>
      <c r="O96" s="46" t="str">
        <f t="shared" si="6"/>
        <v/>
      </c>
      <c r="P96" s="46" t="str">
        <f t="shared" si="7"/>
        <v/>
      </c>
      <c r="Q96" s="21"/>
      <c r="R96" s="72" t="str">
        <f t="shared" si="4"/>
        <v/>
      </c>
      <c r="S96" s="41"/>
      <c r="T96" s="164"/>
      <c r="U96" s="41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5"/>
      <c r="AP96" s="12"/>
      <c r="AQ96" s="12"/>
      <c r="AR96" s="12"/>
      <c r="AS96" s="12"/>
      <c r="AT96" s="12"/>
      <c r="AU96" s="12"/>
      <c r="AV96" s="12"/>
      <c r="AW96" s="12"/>
      <c r="AX96" s="35"/>
      <c r="AY96" s="35"/>
      <c r="AZ96" s="35"/>
      <c r="BA96" s="35"/>
      <c r="BB96" s="35"/>
      <c r="BC96" s="35"/>
      <c r="BD96" s="15"/>
      <c r="BE96" s="35"/>
      <c r="BF96" s="12"/>
      <c r="BG96" s="12"/>
      <c r="BH96" s="43"/>
      <c r="BI96" s="12"/>
    </row>
    <row r="97" spans="1:61" x14ac:dyDescent="0.3">
      <c r="A97" s="40"/>
      <c r="B97" s="83"/>
      <c r="C97" s="15"/>
      <c r="D97" s="15"/>
      <c r="E97" s="49"/>
      <c r="F97" s="80"/>
      <c r="G97" s="76"/>
      <c r="H97" s="76">
        <f t="shared" si="5"/>
        <v>0</v>
      </c>
      <c r="I97" s="17"/>
      <c r="J97" s="42"/>
      <c r="K97" s="40"/>
      <c r="L97" s="84"/>
      <c r="M97" s="39"/>
      <c r="N97" s="20"/>
      <c r="O97" s="46" t="str">
        <f t="shared" si="6"/>
        <v/>
      </c>
      <c r="P97" s="46" t="str">
        <f t="shared" si="7"/>
        <v/>
      </c>
      <c r="Q97" s="21"/>
      <c r="R97" s="72" t="str">
        <f t="shared" si="4"/>
        <v/>
      </c>
      <c r="S97" s="41"/>
      <c r="T97" s="164"/>
      <c r="U97" s="41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5"/>
      <c r="AP97" s="12"/>
      <c r="AQ97" s="12"/>
      <c r="AR97" s="12"/>
      <c r="AS97" s="12"/>
      <c r="AT97" s="12"/>
      <c r="AU97" s="12"/>
      <c r="AV97" s="12"/>
      <c r="AW97" s="12"/>
      <c r="AX97" s="35"/>
      <c r="AY97" s="35"/>
      <c r="AZ97" s="35"/>
      <c r="BA97" s="35"/>
      <c r="BB97" s="35"/>
      <c r="BC97" s="35"/>
      <c r="BD97" s="15"/>
      <c r="BE97" s="35"/>
      <c r="BF97" s="12"/>
      <c r="BG97" s="12"/>
      <c r="BH97" s="43"/>
      <c r="BI97" s="12"/>
    </row>
    <row r="98" spans="1:61" x14ac:dyDescent="0.3">
      <c r="A98" s="40"/>
      <c r="B98" s="83"/>
      <c r="C98" s="15"/>
      <c r="D98" s="15"/>
      <c r="E98" s="49"/>
      <c r="F98" s="80"/>
      <c r="G98" s="76"/>
      <c r="H98" s="76">
        <f t="shared" si="5"/>
        <v>0</v>
      </c>
      <c r="I98" s="17"/>
      <c r="J98" s="42"/>
      <c r="K98" s="40"/>
      <c r="L98" s="84"/>
      <c r="M98" s="39"/>
      <c r="N98" s="20"/>
      <c r="O98" s="46" t="str">
        <f t="shared" si="6"/>
        <v/>
      </c>
      <c r="P98" s="46" t="str">
        <f t="shared" si="7"/>
        <v/>
      </c>
      <c r="Q98" s="21"/>
      <c r="R98" s="72" t="str">
        <f t="shared" si="4"/>
        <v/>
      </c>
      <c r="S98" s="41"/>
      <c r="T98" s="164"/>
      <c r="U98" s="41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5"/>
      <c r="AP98" s="12"/>
      <c r="AQ98" s="12"/>
      <c r="AR98" s="12"/>
      <c r="AS98" s="12"/>
      <c r="AT98" s="12"/>
      <c r="AU98" s="12"/>
      <c r="AV98" s="12"/>
      <c r="AW98" s="12"/>
      <c r="AX98" s="35"/>
      <c r="AY98" s="35"/>
      <c r="AZ98" s="35"/>
      <c r="BA98" s="35"/>
      <c r="BB98" s="35"/>
      <c r="BC98" s="35"/>
      <c r="BD98" s="15"/>
      <c r="BE98" s="35"/>
      <c r="BF98" s="12"/>
      <c r="BG98" s="12"/>
      <c r="BH98" s="43"/>
      <c r="BI98" s="12"/>
    </row>
    <row r="99" spans="1:61" x14ac:dyDescent="0.3">
      <c r="A99" s="40"/>
      <c r="B99" s="83"/>
      <c r="C99" s="15"/>
      <c r="D99" s="15"/>
      <c r="E99" s="49"/>
      <c r="F99" s="80"/>
      <c r="G99" s="76"/>
      <c r="H99" s="76">
        <f t="shared" si="5"/>
        <v>0</v>
      </c>
      <c r="I99" s="17"/>
      <c r="J99" s="42"/>
      <c r="K99" s="40"/>
      <c r="L99" s="84"/>
      <c r="M99" s="39"/>
      <c r="N99" s="20"/>
      <c r="O99" s="46" t="str">
        <f t="shared" si="6"/>
        <v/>
      </c>
      <c r="P99" s="46" t="str">
        <f t="shared" si="7"/>
        <v/>
      </c>
      <c r="Q99" s="21"/>
      <c r="R99" s="72" t="str">
        <f t="shared" si="4"/>
        <v/>
      </c>
      <c r="S99" s="41"/>
      <c r="T99" s="164"/>
      <c r="U99" s="41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5"/>
      <c r="AP99" s="12"/>
      <c r="AQ99" s="12"/>
      <c r="AR99" s="12"/>
      <c r="AS99" s="12"/>
      <c r="AT99" s="12"/>
      <c r="AU99" s="12"/>
      <c r="AV99" s="12"/>
      <c r="AW99" s="12"/>
      <c r="AX99" s="35"/>
      <c r="AY99" s="35"/>
      <c r="AZ99" s="35"/>
      <c r="BA99" s="35"/>
      <c r="BB99" s="35"/>
      <c r="BC99" s="35"/>
      <c r="BD99" s="15"/>
      <c r="BE99" s="35"/>
      <c r="BF99" s="12"/>
      <c r="BG99" s="12"/>
      <c r="BH99" s="43"/>
      <c r="BI99" s="12"/>
    </row>
    <row r="100" spans="1:61" x14ac:dyDescent="0.3">
      <c r="A100" s="40"/>
      <c r="B100" s="83"/>
      <c r="C100" s="15"/>
      <c r="D100" s="15"/>
      <c r="E100" s="49"/>
      <c r="F100" s="80"/>
      <c r="G100" s="76"/>
      <c r="H100" s="76">
        <f t="shared" si="5"/>
        <v>0</v>
      </c>
      <c r="I100" s="17"/>
      <c r="J100" s="42"/>
      <c r="K100" s="40"/>
      <c r="L100" s="84"/>
      <c r="M100" s="39"/>
      <c r="N100" s="20"/>
      <c r="O100" s="46" t="str">
        <f t="shared" si="6"/>
        <v/>
      </c>
      <c r="P100" s="46" t="str">
        <f t="shared" si="7"/>
        <v/>
      </c>
      <c r="Q100" s="21"/>
      <c r="R100" s="72" t="str">
        <f t="shared" si="4"/>
        <v/>
      </c>
      <c r="S100" s="41"/>
      <c r="T100" s="164"/>
      <c r="U100" s="41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5"/>
      <c r="AP100" s="12"/>
      <c r="AQ100" s="12"/>
      <c r="AR100" s="12"/>
      <c r="AS100" s="12"/>
      <c r="AT100" s="12"/>
      <c r="AU100" s="12"/>
      <c r="AV100" s="12"/>
      <c r="AW100" s="12"/>
      <c r="AX100" s="35"/>
      <c r="AY100" s="35"/>
      <c r="AZ100" s="35"/>
      <c r="BA100" s="35"/>
      <c r="BB100" s="35"/>
      <c r="BC100" s="35"/>
      <c r="BD100" s="15"/>
      <c r="BE100" s="35"/>
      <c r="BF100" s="12"/>
      <c r="BG100" s="12"/>
      <c r="BH100" s="43"/>
      <c r="BI100" s="12"/>
    </row>
    <row r="101" spans="1:61" x14ac:dyDescent="0.3">
      <c r="A101" s="40"/>
      <c r="B101" s="83"/>
      <c r="C101" s="15"/>
      <c r="D101" s="15"/>
      <c r="E101" s="49"/>
      <c r="F101" s="80"/>
      <c r="G101" s="76"/>
      <c r="H101" s="76">
        <f t="shared" si="5"/>
        <v>0</v>
      </c>
      <c r="I101" s="17"/>
      <c r="J101" s="42"/>
      <c r="K101" s="40"/>
      <c r="L101" s="84"/>
      <c r="M101" s="39"/>
      <c r="N101" s="20"/>
      <c r="O101" s="46" t="str">
        <f t="shared" si="6"/>
        <v/>
      </c>
      <c r="P101" s="46" t="str">
        <f t="shared" si="7"/>
        <v/>
      </c>
      <c r="Q101" s="21"/>
      <c r="R101" s="72" t="str">
        <f t="shared" si="4"/>
        <v/>
      </c>
      <c r="S101" s="41"/>
      <c r="T101" s="164"/>
      <c r="U101" s="41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5"/>
      <c r="AP101" s="12"/>
      <c r="AQ101" s="12"/>
      <c r="AR101" s="12"/>
      <c r="AS101" s="12"/>
      <c r="AT101" s="12"/>
      <c r="AU101" s="12"/>
      <c r="AV101" s="12"/>
      <c r="AW101" s="12"/>
      <c r="AX101" s="35"/>
      <c r="AY101" s="35"/>
      <c r="AZ101" s="35"/>
      <c r="BA101" s="35"/>
      <c r="BB101" s="35"/>
      <c r="BC101" s="35"/>
      <c r="BD101" s="15"/>
      <c r="BE101" s="35"/>
      <c r="BF101" s="12"/>
      <c r="BG101" s="12"/>
      <c r="BH101" s="43"/>
      <c r="BI101" s="12"/>
    </row>
    <row r="102" spans="1:61" x14ac:dyDescent="0.3">
      <c r="A102" s="40"/>
      <c r="B102" s="83"/>
      <c r="C102" s="15"/>
      <c r="D102" s="15"/>
      <c r="E102" s="49"/>
      <c r="F102" s="80"/>
      <c r="G102" s="76"/>
      <c r="H102" s="76">
        <f t="shared" si="5"/>
        <v>0</v>
      </c>
      <c r="I102" s="17"/>
      <c r="J102" s="42"/>
      <c r="K102" s="40"/>
      <c r="L102" s="84"/>
      <c r="M102" s="39"/>
      <c r="N102" s="20"/>
      <c r="O102" s="46" t="str">
        <f t="shared" si="6"/>
        <v/>
      </c>
      <c r="P102" s="46" t="str">
        <f t="shared" si="7"/>
        <v/>
      </c>
      <c r="Q102" s="21"/>
      <c r="R102" s="72" t="str">
        <f t="shared" si="4"/>
        <v/>
      </c>
      <c r="S102" s="41"/>
      <c r="T102" s="164"/>
      <c r="U102" s="41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5"/>
      <c r="AP102" s="12"/>
      <c r="AQ102" s="12"/>
      <c r="AR102" s="12"/>
      <c r="AS102" s="12"/>
      <c r="AT102" s="12"/>
      <c r="AU102" s="12"/>
      <c r="AV102" s="12"/>
      <c r="AW102" s="12"/>
      <c r="AX102" s="35"/>
      <c r="AY102" s="35"/>
      <c r="AZ102" s="35"/>
      <c r="BA102" s="35"/>
      <c r="BB102" s="35"/>
      <c r="BC102" s="35"/>
      <c r="BD102" s="15"/>
      <c r="BE102" s="35"/>
      <c r="BF102" s="12"/>
      <c r="BG102" s="12"/>
      <c r="BH102" s="43"/>
      <c r="BI102" s="12"/>
    </row>
    <row r="103" spans="1:61" x14ac:dyDescent="0.3">
      <c r="A103" s="40"/>
      <c r="B103" s="83"/>
      <c r="C103" s="15"/>
      <c r="D103" s="15"/>
      <c r="E103" s="49"/>
      <c r="F103" s="80"/>
      <c r="G103" s="76"/>
      <c r="H103" s="76">
        <f t="shared" si="5"/>
        <v>0</v>
      </c>
      <c r="I103" s="17"/>
      <c r="J103" s="42"/>
      <c r="K103" s="40"/>
      <c r="L103" s="84"/>
      <c r="M103" s="39"/>
      <c r="N103" s="20"/>
      <c r="O103" s="46" t="str">
        <f t="shared" si="6"/>
        <v/>
      </c>
      <c r="P103" s="46" t="str">
        <f t="shared" si="7"/>
        <v/>
      </c>
      <c r="Q103" s="21"/>
      <c r="R103" s="72" t="str">
        <f t="shared" si="4"/>
        <v/>
      </c>
      <c r="S103" s="41"/>
      <c r="T103" s="164"/>
      <c r="U103" s="41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5"/>
      <c r="AP103" s="12"/>
      <c r="AQ103" s="12"/>
      <c r="AR103" s="12"/>
      <c r="AS103" s="12"/>
      <c r="AT103" s="12"/>
      <c r="AU103" s="12"/>
      <c r="AV103" s="12"/>
      <c r="AW103" s="12"/>
      <c r="AX103" s="35"/>
      <c r="AY103" s="35"/>
      <c r="AZ103" s="35"/>
      <c r="BA103" s="35"/>
      <c r="BB103" s="35"/>
      <c r="BC103" s="35"/>
      <c r="BD103" s="15"/>
      <c r="BE103" s="35"/>
      <c r="BF103" s="12"/>
      <c r="BG103" s="12"/>
      <c r="BH103" s="43"/>
      <c r="BI103" s="12"/>
    </row>
    <row r="104" spans="1:61" x14ac:dyDescent="0.3">
      <c r="A104" s="40"/>
      <c r="B104" s="83"/>
      <c r="C104" s="15"/>
      <c r="D104" s="15"/>
      <c r="E104" s="49"/>
      <c r="F104" s="80"/>
      <c r="G104" s="76"/>
      <c r="H104" s="76">
        <f t="shared" si="5"/>
        <v>0</v>
      </c>
      <c r="I104" s="17"/>
      <c r="J104" s="42"/>
      <c r="K104" s="40"/>
      <c r="L104" s="84"/>
      <c r="M104" s="39"/>
      <c r="N104" s="20"/>
      <c r="O104" s="46" t="str">
        <f t="shared" si="6"/>
        <v/>
      </c>
      <c r="P104" s="46" t="str">
        <f t="shared" si="7"/>
        <v/>
      </c>
      <c r="Q104" s="21"/>
      <c r="R104" s="72" t="str">
        <f t="shared" si="4"/>
        <v/>
      </c>
      <c r="S104" s="41"/>
      <c r="T104" s="164"/>
      <c r="U104" s="41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5"/>
      <c r="AP104" s="12"/>
      <c r="AQ104" s="12"/>
      <c r="AR104" s="12"/>
      <c r="AS104" s="12"/>
      <c r="AT104" s="12"/>
      <c r="AU104" s="12"/>
      <c r="AV104" s="12"/>
      <c r="AW104" s="12"/>
      <c r="AX104" s="35"/>
      <c r="AY104" s="35"/>
      <c r="AZ104" s="35"/>
      <c r="BA104" s="35"/>
      <c r="BB104" s="35"/>
      <c r="BC104" s="35"/>
      <c r="BD104" s="15"/>
      <c r="BE104" s="35"/>
      <c r="BF104" s="12"/>
      <c r="BG104" s="12"/>
      <c r="BH104" s="43"/>
      <c r="BI104" s="12"/>
    </row>
    <row r="105" spans="1:61" x14ac:dyDescent="0.3">
      <c r="A105" s="40"/>
      <c r="B105" s="83"/>
      <c r="C105" s="15"/>
      <c r="D105" s="15"/>
      <c r="E105" s="49"/>
      <c r="F105" s="80"/>
      <c r="G105" s="76"/>
      <c r="H105" s="76">
        <f t="shared" si="5"/>
        <v>0</v>
      </c>
      <c r="I105" s="17"/>
      <c r="J105" s="42"/>
      <c r="K105" s="40"/>
      <c r="L105" s="84"/>
      <c r="M105" s="39"/>
      <c r="N105" s="20"/>
      <c r="O105" s="46" t="str">
        <f t="shared" si="6"/>
        <v/>
      </c>
      <c r="P105" s="46" t="str">
        <f t="shared" si="7"/>
        <v/>
      </c>
      <c r="Q105" s="21"/>
      <c r="R105" s="72" t="str">
        <f t="shared" si="4"/>
        <v/>
      </c>
      <c r="S105" s="41"/>
      <c r="T105" s="164"/>
      <c r="U105" s="41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5"/>
      <c r="AP105" s="12"/>
      <c r="AQ105" s="12"/>
      <c r="AR105" s="12"/>
      <c r="AS105" s="12"/>
      <c r="AT105" s="12"/>
      <c r="AU105" s="12"/>
      <c r="AV105" s="12"/>
      <c r="AW105" s="12"/>
      <c r="AX105" s="35"/>
      <c r="AY105" s="35"/>
      <c r="AZ105" s="35"/>
      <c r="BA105" s="35"/>
      <c r="BB105" s="35"/>
      <c r="BC105" s="35"/>
      <c r="BD105" s="15"/>
      <c r="BE105" s="35"/>
      <c r="BF105" s="12"/>
      <c r="BG105" s="12"/>
      <c r="BH105" s="43"/>
      <c r="BI105" s="12"/>
    </row>
    <row r="106" spans="1:61" x14ac:dyDescent="0.3">
      <c r="A106" s="40"/>
      <c r="B106" s="83"/>
      <c r="C106" s="15"/>
      <c r="D106" s="15"/>
      <c r="E106" s="49"/>
      <c r="F106" s="80"/>
      <c r="G106" s="76"/>
      <c r="H106" s="76">
        <f t="shared" si="5"/>
        <v>0</v>
      </c>
      <c r="I106" s="17"/>
      <c r="J106" s="42"/>
      <c r="K106" s="40"/>
      <c r="L106" s="84"/>
      <c r="M106" s="39"/>
      <c r="N106" s="20"/>
      <c r="O106" s="46" t="str">
        <f t="shared" si="6"/>
        <v/>
      </c>
      <c r="P106" s="46" t="str">
        <f t="shared" si="7"/>
        <v/>
      </c>
      <c r="Q106" s="21"/>
      <c r="R106" s="72" t="str">
        <f t="shared" si="4"/>
        <v/>
      </c>
      <c r="S106" s="41"/>
      <c r="T106" s="164"/>
      <c r="U106" s="41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5"/>
      <c r="AP106" s="12"/>
      <c r="AQ106" s="12"/>
      <c r="AR106" s="12"/>
      <c r="AS106" s="12"/>
      <c r="AT106" s="12"/>
      <c r="AU106" s="12"/>
      <c r="AV106" s="12"/>
      <c r="AW106" s="12"/>
      <c r="AX106" s="35"/>
      <c r="AY106" s="35"/>
      <c r="AZ106" s="35"/>
      <c r="BA106" s="35"/>
      <c r="BB106" s="35"/>
      <c r="BC106" s="35"/>
      <c r="BD106" s="15"/>
      <c r="BE106" s="35"/>
      <c r="BF106" s="12"/>
      <c r="BG106" s="12"/>
      <c r="BH106" s="43"/>
      <c r="BI106" s="12"/>
    </row>
    <row r="107" spans="1:61" x14ac:dyDescent="0.3">
      <c r="A107" s="40"/>
      <c r="B107" s="83"/>
      <c r="C107" s="15"/>
      <c r="D107" s="15"/>
      <c r="E107" s="49"/>
      <c r="F107" s="80"/>
      <c r="G107" s="76"/>
      <c r="H107" s="76">
        <f t="shared" si="5"/>
        <v>0</v>
      </c>
      <c r="I107" s="17"/>
      <c r="J107" s="42"/>
      <c r="K107" s="40"/>
      <c r="L107" s="84"/>
      <c r="M107" s="39"/>
      <c r="N107" s="20"/>
      <c r="O107" s="46" t="str">
        <f t="shared" si="6"/>
        <v/>
      </c>
      <c r="P107" s="46" t="str">
        <f t="shared" si="7"/>
        <v/>
      </c>
      <c r="Q107" s="21"/>
      <c r="R107" s="72" t="str">
        <f t="shared" si="4"/>
        <v/>
      </c>
      <c r="S107" s="41"/>
      <c r="T107" s="164"/>
      <c r="U107" s="41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5"/>
      <c r="AP107" s="12"/>
      <c r="AQ107" s="12"/>
      <c r="AR107" s="12"/>
      <c r="AS107" s="12"/>
      <c r="AT107" s="12"/>
      <c r="AU107" s="12"/>
      <c r="AV107" s="12"/>
      <c r="AW107" s="12"/>
      <c r="AX107" s="35"/>
      <c r="AY107" s="35"/>
      <c r="AZ107" s="35"/>
      <c r="BA107" s="35"/>
      <c r="BB107" s="35"/>
      <c r="BC107" s="35"/>
      <c r="BD107" s="15"/>
      <c r="BE107" s="35"/>
      <c r="BF107" s="12"/>
      <c r="BG107" s="12"/>
      <c r="BH107" s="43"/>
      <c r="BI107" s="12"/>
    </row>
    <row r="108" spans="1:61" x14ac:dyDescent="0.3">
      <c r="A108" s="40"/>
      <c r="B108" s="83"/>
      <c r="C108" s="15"/>
      <c r="D108" s="15"/>
      <c r="E108" s="49"/>
      <c r="F108" s="80"/>
      <c r="G108" s="76"/>
      <c r="H108" s="76">
        <f t="shared" si="5"/>
        <v>0</v>
      </c>
      <c r="I108" s="17"/>
      <c r="J108" s="42"/>
      <c r="K108" s="40"/>
      <c r="L108" s="84"/>
      <c r="M108" s="39"/>
      <c r="N108" s="20"/>
      <c r="O108" s="46" t="str">
        <f t="shared" si="6"/>
        <v/>
      </c>
      <c r="P108" s="46" t="str">
        <f t="shared" si="7"/>
        <v/>
      </c>
      <c r="Q108" s="21"/>
      <c r="R108" s="72" t="str">
        <f t="shared" si="4"/>
        <v/>
      </c>
      <c r="S108" s="41"/>
      <c r="T108" s="164"/>
      <c r="U108" s="41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5"/>
      <c r="AP108" s="12"/>
      <c r="AQ108" s="12"/>
      <c r="AR108" s="12"/>
      <c r="AS108" s="12"/>
      <c r="AT108" s="12"/>
      <c r="AU108" s="12"/>
      <c r="AV108" s="12"/>
      <c r="AW108" s="12"/>
      <c r="AX108" s="35"/>
      <c r="AY108" s="35"/>
      <c r="AZ108" s="35"/>
      <c r="BA108" s="35"/>
      <c r="BB108" s="35"/>
      <c r="BC108" s="35"/>
      <c r="BD108" s="15"/>
      <c r="BE108" s="35"/>
      <c r="BF108" s="12"/>
      <c r="BG108" s="12"/>
      <c r="BH108" s="43"/>
      <c r="BI108" s="12"/>
    </row>
    <row r="109" spans="1:61" x14ac:dyDescent="0.3">
      <c r="A109" s="40"/>
      <c r="B109" s="83"/>
      <c r="C109" s="15"/>
      <c r="D109" s="15"/>
      <c r="E109" s="49"/>
      <c r="F109" s="80"/>
      <c r="G109" s="76"/>
      <c r="H109" s="76">
        <f t="shared" si="5"/>
        <v>0</v>
      </c>
      <c r="I109" s="17"/>
      <c r="J109" s="42"/>
      <c r="K109" s="40"/>
      <c r="L109" s="84"/>
      <c r="M109" s="39"/>
      <c r="N109" s="20"/>
      <c r="O109" s="46" t="str">
        <f t="shared" si="6"/>
        <v/>
      </c>
      <c r="P109" s="46" t="str">
        <f t="shared" si="7"/>
        <v/>
      </c>
      <c r="Q109" s="21"/>
      <c r="R109" s="72" t="str">
        <f t="shared" si="4"/>
        <v/>
      </c>
      <c r="S109" s="41"/>
      <c r="T109" s="164"/>
      <c r="U109" s="41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5"/>
      <c r="AP109" s="12"/>
      <c r="AQ109" s="12"/>
      <c r="AR109" s="12"/>
      <c r="AS109" s="12"/>
      <c r="AT109" s="12"/>
      <c r="AU109" s="12"/>
      <c r="AV109" s="12"/>
      <c r="AW109" s="12"/>
      <c r="AX109" s="35"/>
      <c r="AY109" s="35"/>
      <c r="AZ109" s="35"/>
      <c r="BA109" s="35"/>
      <c r="BB109" s="35"/>
      <c r="BC109" s="35"/>
      <c r="BD109" s="15"/>
      <c r="BE109" s="35"/>
      <c r="BF109" s="12"/>
      <c r="BG109" s="12"/>
      <c r="BH109" s="43"/>
      <c r="BI109" s="12"/>
    </row>
    <row r="110" spans="1:61" x14ac:dyDescent="0.3">
      <c r="A110" s="40"/>
      <c r="B110" s="83"/>
      <c r="C110" s="15"/>
      <c r="D110" s="15"/>
      <c r="E110" s="49"/>
      <c r="F110" s="80"/>
      <c r="G110" s="76"/>
      <c r="H110" s="76">
        <f t="shared" si="5"/>
        <v>0</v>
      </c>
      <c r="I110" s="17"/>
      <c r="J110" s="42"/>
      <c r="K110" s="40"/>
      <c r="L110" s="84"/>
      <c r="M110" s="39"/>
      <c r="N110" s="20"/>
      <c r="O110" s="46" t="str">
        <f t="shared" si="6"/>
        <v/>
      </c>
      <c r="P110" s="46" t="str">
        <f t="shared" si="7"/>
        <v/>
      </c>
      <c r="Q110" s="21"/>
      <c r="R110" s="72" t="str">
        <f t="shared" si="4"/>
        <v/>
      </c>
      <c r="S110" s="41"/>
      <c r="T110" s="164"/>
      <c r="U110" s="41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5"/>
      <c r="AP110" s="12"/>
      <c r="AQ110" s="12"/>
      <c r="AR110" s="12"/>
      <c r="AS110" s="12"/>
      <c r="AT110" s="12"/>
      <c r="AU110" s="12"/>
      <c r="AV110" s="12"/>
      <c r="AW110" s="12"/>
      <c r="AX110" s="35"/>
      <c r="AY110" s="35"/>
      <c r="AZ110" s="35"/>
      <c r="BA110" s="35"/>
      <c r="BB110" s="35"/>
      <c r="BC110" s="35"/>
      <c r="BD110" s="15"/>
      <c r="BE110" s="35"/>
      <c r="BF110" s="12"/>
      <c r="BG110" s="12"/>
      <c r="BH110" s="43"/>
      <c r="BI110" s="12"/>
    </row>
    <row r="111" spans="1:61" x14ac:dyDescent="0.3">
      <c r="A111" s="40"/>
      <c r="B111" s="83"/>
      <c r="C111" s="15"/>
      <c r="D111" s="15"/>
      <c r="E111" s="49"/>
      <c r="F111" s="80"/>
      <c r="G111" s="76"/>
      <c r="H111" s="76">
        <f t="shared" si="5"/>
        <v>0</v>
      </c>
      <c r="I111" s="17"/>
      <c r="J111" s="42"/>
      <c r="K111" s="40"/>
      <c r="L111" s="84"/>
      <c r="M111" s="39"/>
      <c r="N111" s="20"/>
      <c r="O111" s="46" t="str">
        <f t="shared" si="6"/>
        <v/>
      </c>
      <c r="P111" s="46" t="str">
        <f t="shared" si="7"/>
        <v/>
      </c>
      <c r="Q111" s="21"/>
      <c r="R111" s="72" t="str">
        <f t="shared" si="4"/>
        <v/>
      </c>
      <c r="S111" s="41"/>
      <c r="T111" s="164"/>
      <c r="U111" s="41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5"/>
      <c r="AP111" s="12"/>
      <c r="AQ111" s="12"/>
      <c r="AR111" s="12"/>
      <c r="AS111" s="12"/>
      <c r="AT111" s="12"/>
      <c r="AU111" s="12"/>
      <c r="AV111" s="12"/>
      <c r="AW111" s="12"/>
      <c r="AX111" s="35"/>
      <c r="AY111" s="35"/>
      <c r="AZ111" s="35"/>
      <c r="BA111" s="35"/>
      <c r="BB111" s="35"/>
      <c r="BC111" s="35"/>
      <c r="BD111" s="15"/>
      <c r="BE111" s="35"/>
      <c r="BF111" s="12"/>
      <c r="BG111" s="12"/>
      <c r="BH111" s="43"/>
      <c r="BI111" s="12"/>
    </row>
    <row r="112" spans="1:61" x14ac:dyDescent="0.3">
      <c r="A112" s="40"/>
      <c r="B112" s="83"/>
      <c r="C112" s="15"/>
      <c r="D112" s="15"/>
      <c r="E112" s="49"/>
      <c r="F112" s="80"/>
      <c r="G112" s="76"/>
      <c r="H112" s="76">
        <f t="shared" si="5"/>
        <v>0</v>
      </c>
      <c r="I112" s="17"/>
      <c r="J112" s="42"/>
      <c r="K112" s="40"/>
      <c r="L112" s="84"/>
      <c r="M112" s="39"/>
      <c r="N112" s="20"/>
      <c r="O112" s="46" t="str">
        <f t="shared" si="6"/>
        <v/>
      </c>
      <c r="P112" s="46" t="str">
        <f t="shared" si="7"/>
        <v/>
      </c>
      <c r="Q112" s="21"/>
      <c r="R112" s="72" t="str">
        <f t="shared" si="4"/>
        <v/>
      </c>
      <c r="S112" s="41"/>
      <c r="T112" s="164"/>
      <c r="U112" s="41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5"/>
      <c r="AP112" s="12"/>
      <c r="AQ112" s="12"/>
      <c r="AR112" s="12"/>
      <c r="AS112" s="12"/>
      <c r="AT112" s="12"/>
      <c r="AU112" s="12"/>
      <c r="AV112" s="12"/>
      <c r="AW112" s="12"/>
      <c r="AX112" s="35"/>
      <c r="AY112" s="35"/>
      <c r="AZ112" s="35"/>
      <c r="BA112" s="35"/>
      <c r="BB112" s="35"/>
      <c r="BC112" s="35"/>
      <c r="BD112" s="15"/>
      <c r="BE112" s="35"/>
      <c r="BF112" s="12"/>
      <c r="BG112" s="12"/>
      <c r="BH112" s="43"/>
      <c r="BI112" s="12"/>
    </row>
    <row r="113" spans="1:61" x14ac:dyDescent="0.3">
      <c r="A113" s="40"/>
      <c r="B113" s="83"/>
      <c r="C113" s="15"/>
      <c r="D113" s="15"/>
      <c r="E113" s="49"/>
      <c r="F113" s="80"/>
      <c r="G113" s="76"/>
      <c r="H113" s="76">
        <f t="shared" si="5"/>
        <v>0</v>
      </c>
      <c r="I113" s="17"/>
      <c r="J113" s="42"/>
      <c r="K113" s="40"/>
      <c r="L113" s="84"/>
      <c r="M113" s="39"/>
      <c r="N113" s="20"/>
      <c r="O113" s="46" t="str">
        <f t="shared" si="6"/>
        <v/>
      </c>
      <c r="P113" s="46" t="str">
        <f t="shared" si="7"/>
        <v/>
      </c>
      <c r="Q113" s="21"/>
      <c r="R113" s="72" t="str">
        <f t="shared" si="4"/>
        <v/>
      </c>
      <c r="S113" s="41"/>
      <c r="T113" s="164"/>
      <c r="U113" s="41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5"/>
      <c r="AP113" s="12"/>
      <c r="AQ113" s="12"/>
      <c r="AR113" s="12"/>
      <c r="AS113" s="12"/>
      <c r="AT113" s="12"/>
      <c r="AU113" s="12"/>
      <c r="AV113" s="12"/>
      <c r="AW113" s="12"/>
      <c r="AX113" s="35"/>
      <c r="AY113" s="35"/>
      <c r="AZ113" s="35"/>
      <c r="BA113" s="35"/>
      <c r="BB113" s="35"/>
      <c r="BC113" s="35"/>
      <c r="BD113" s="15"/>
      <c r="BE113" s="35"/>
      <c r="BF113" s="12"/>
      <c r="BG113" s="12"/>
      <c r="BH113" s="43"/>
      <c r="BI113" s="12"/>
    </row>
    <row r="114" spans="1:61" x14ac:dyDescent="0.3">
      <c r="A114" s="40"/>
      <c r="B114" s="83"/>
      <c r="C114" s="15"/>
      <c r="D114" s="15"/>
      <c r="E114" s="49"/>
      <c r="F114" s="80"/>
      <c r="G114" s="76"/>
      <c r="H114" s="76">
        <f t="shared" si="5"/>
        <v>0</v>
      </c>
      <c r="I114" s="17"/>
      <c r="J114" s="42"/>
      <c r="K114" s="40"/>
      <c r="L114" s="84"/>
      <c r="M114" s="39"/>
      <c r="N114" s="20"/>
      <c r="O114" s="46" t="str">
        <f t="shared" si="6"/>
        <v/>
      </c>
      <c r="P114" s="46" t="str">
        <f t="shared" si="7"/>
        <v/>
      </c>
      <c r="Q114" s="21"/>
      <c r="R114" s="72" t="str">
        <f t="shared" si="4"/>
        <v/>
      </c>
      <c r="S114" s="41"/>
      <c r="T114" s="164"/>
      <c r="U114" s="41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5"/>
      <c r="AP114" s="12"/>
      <c r="AQ114" s="12"/>
      <c r="AR114" s="12"/>
      <c r="AS114" s="12"/>
      <c r="AT114" s="12"/>
      <c r="AU114" s="12"/>
      <c r="AV114" s="12"/>
      <c r="AW114" s="12"/>
      <c r="AX114" s="35"/>
      <c r="AY114" s="35"/>
      <c r="AZ114" s="35"/>
      <c r="BA114" s="35"/>
      <c r="BB114" s="35"/>
      <c r="BC114" s="35"/>
      <c r="BD114" s="15"/>
      <c r="BE114" s="35"/>
      <c r="BF114" s="12"/>
      <c r="BG114" s="12"/>
      <c r="BH114" s="43"/>
      <c r="BI114" s="12"/>
    </row>
    <row r="115" spans="1:61" x14ac:dyDescent="0.3">
      <c r="A115" s="40"/>
      <c r="B115" s="83"/>
      <c r="C115" s="15"/>
      <c r="D115" s="15"/>
      <c r="E115" s="49"/>
      <c r="F115" s="80"/>
      <c r="G115" s="76"/>
      <c r="H115" s="76">
        <f t="shared" si="5"/>
        <v>0</v>
      </c>
      <c r="I115" s="17"/>
      <c r="J115" s="42"/>
      <c r="K115" s="40"/>
      <c r="L115" s="84"/>
      <c r="M115" s="39"/>
      <c r="N115" s="20"/>
      <c r="O115" s="46" t="str">
        <f t="shared" si="6"/>
        <v/>
      </c>
      <c r="P115" s="46" t="str">
        <f t="shared" si="7"/>
        <v/>
      </c>
      <c r="Q115" s="21"/>
      <c r="R115" s="72" t="str">
        <f t="shared" si="4"/>
        <v/>
      </c>
      <c r="S115" s="41"/>
      <c r="T115" s="164"/>
      <c r="U115" s="41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5"/>
      <c r="AP115" s="12"/>
      <c r="AQ115" s="12"/>
      <c r="AR115" s="12"/>
      <c r="AS115" s="12"/>
      <c r="AT115" s="12"/>
      <c r="AU115" s="12"/>
      <c r="AV115" s="12"/>
      <c r="AW115" s="12"/>
      <c r="AX115" s="35"/>
      <c r="AY115" s="35"/>
      <c r="AZ115" s="35"/>
      <c r="BA115" s="35"/>
      <c r="BB115" s="35"/>
      <c r="BC115" s="35"/>
      <c r="BD115" s="15"/>
      <c r="BE115" s="35"/>
      <c r="BF115" s="12"/>
      <c r="BG115" s="12"/>
      <c r="BH115" s="43"/>
      <c r="BI115" s="12"/>
    </row>
    <row r="116" spans="1:61" x14ac:dyDescent="0.3">
      <c r="A116" s="40"/>
      <c r="B116" s="83"/>
      <c r="C116" s="15"/>
      <c r="D116" s="15"/>
      <c r="E116" s="49"/>
      <c r="F116" s="80"/>
      <c r="G116" s="76"/>
      <c r="H116" s="76">
        <f t="shared" si="5"/>
        <v>0</v>
      </c>
      <c r="I116" s="17"/>
      <c r="J116" s="42"/>
      <c r="K116" s="40"/>
      <c r="L116" s="84"/>
      <c r="M116" s="39"/>
      <c r="N116" s="20"/>
      <c r="O116" s="46" t="str">
        <f t="shared" si="6"/>
        <v/>
      </c>
      <c r="P116" s="46" t="str">
        <f t="shared" si="7"/>
        <v/>
      </c>
      <c r="Q116" s="21"/>
      <c r="R116" s="72" t="str">
        <f t="shared" si="4"/>
        <v/>
      </c>
      <c r="S116" s="41"/>
      <c r="T116" s="164"/>
      <c r="U116" s="41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5"/>
      <c r="AP116" s="12"/>
      <c r="AQ116" s="12"/>
      <c r="AR116" s="12"/>
      <c r="AS116" s="12"/>
      <c r="AT116" s="12"/>
      <c r="AU116" s="12"/>
      <c r="AV116" s="12"/>
      <c r="AW116" s="12"/>
      <c r="AX116" s="35"/>
      <c r="AY116" s="35"/>
      <c r="AZ116" s="35"/>
      <c r="BA116" s="35"/>
      <c r="BB116" s="35"/>
      <c r="BC116" s="35"/>
      <c r="BD116" s="15"/>
      <c r="BE116" s="35"/>
      <c r="BF116" s="12"/>
      <c r="BG116" s="12"/>
      <c r="BH116" s="43"/>
      <c r="BI116" s="12"/>
    </row>
    <row r="117" spans="1:61" x14ac:dyDescent="0.3">
      <c r="A117" s="40"/>
      <c r="B117" s="83"/>
      <c r="C117" s="15"/>
      <c r="D117" s="15"/>
      <c r="E117" s="49"/>
      <c r="F117" s="80"/>
      <c r="G117" s="76"/>
      <c r="H117" s="76">
        <f t="shared" si="5"/>
        <v>0</v>
      </c>
      <c r="I117" s="17"/>
      <c r="J117" s="42"/>
      <c r="K117" s="40"/>
      <c r="L117" s="84"/>
      <c r="M117" s="39"/>
      <c r="N117" s="20"/>
      <c r="O117" s="46" t="str">
        <f t="shared" si="6"/>
        <v/>
      </c>
      <c r="P117" s="46" t="str">
        <f t="shared" si="7"/>
        <v/>
      </c>
      <c r="Q117" s="21"/>
      <c r="R117" s="72" t="str">
        <f t="shared" si="4"/>
        <v/>
      </c>
      <c r="S117" s="41"/>
      <c r="T117" s="164"/>
      <c r="U117" s="41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5"/>
      <c r="AP117" s="12"/>
      <c r="AQ117" s="12"/>
      <c r="AR117" s="12"/>
      <c r="AS117" s="12"/>
      <c r="AT117" s="12"/>
      <c r="AU117" s="12"/>
      <c r="AV117" s="12"/>
      <c r="AW117" s="12"/>
      <c r="AX117" s="35"/>
      <c r="AY117" s="35"/>
      <c r="AZ117" s="35"/>
      <c r="BA117" s="35"/>
      <c r="BB117" s="35"/>
      <c r="BC117" s="35"/>
      <c r="BD117" s="15"/>
      <c r="BE117" s="35"/>
      <c r="BF117" s="12"/>
      <c r="BG117" s="12"/>
      <c r="BH117" s="43"/>
      <c r="BI117" s="12"/>
    </row>
    <row r="118" spans="1:61" x14ac:dyDescent="0.3">
      <c r="A118" s="40"/>
      <c r="B118" s="83"/>
      <c r="C118" s="15"/>
      <c r="D118" s="15"/>
      <c r="E118" s="49"/>
      <c r="F118" s="80"/>
      <c r="G118" s="76"/>
      <c r="H118" s="76">
        <f t="shared" si="5"/>
        <v>0</v>
      </c>
      <c r="I118" s="17"/>
      <c r="J118" s="42"/>
      <c r="K118" s="40"/>
      <c r="L118" s="84"/>
      <c r="M118" s="39"/>
      <c r="N118" s="20"/>
      <c r="O118" s="46" t="str">
        <f t="shared" si="6"/>
        <v/>
      </c>
      <c r="P118" s="46" t="str">
        <f t="shared" si="7"/>
        <v/>
      </c>
      <c r="Q118" s="21"/>
      <c r="R118" s="72" t="str">
        <f t="shared" si="4"/>
        <v/>
      </c>
      <c r="S118" s="41"/>
      <c r="T118" s="164"/>
      <c r="U118" s="41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5"/>
      <c r="AP118" s="12"/>
      <c r="AQ118" s="12"/>
      <c r="AR118" s="12"/>
      <c r="AS118" s="12"/>
      <c r="AT118" s="12"/>
      <c r="AU118" s="12"/>
      <c r="AV118" s="12"/>
      <c r="AW118" s="12"/>
      <c r="AX118" s="35"/>
      <c r="AY118" s="35"/>
      <c r="AZ118" s="35"/>
      <c r="BA118" s="35"/>
      <c r="BB118" s="35"/>
      <c r="BC118" s="35"/>
      <c r="BD118" s="15"/>
      <c r="BE118" s="35"/>
      <c r="BF118" s="12"/>
      <c r="BG118" s="12"/>
      <c r="BH118" s="43"/>
      <c r="BI118" s="12"/>
    </row>
    <row r="119" spans="1:61" x14ac:dyDescent="0.3">
      <c r="A119" s="40"/>
      <c r="B119" s="83"/>
      <c r="C119" s="15"/>
      <c r="D119" s="15"/>
      <c r="E119" s="49"/>
      <c r="F119" s="80"/>
      <c r="G119" s="76"/>
      <c r="H119" s="76">
        <f t="shared" si="5"/>
        <v>0</v>
      </c>
      <c r="I119" s="17"/>
      <c r="J119" s="42"/>
      <c r="K119" s="40"/>
      <c r="L119" s="84"/>
      <c r="M119" s="39"/>
      <c r="N119" s="20"/>
      <c r="O119" s="46" t="str">
        <f t="shared" si="6"/>
        <v/>
      </c>
      <c r="P119" s="46" t="str">
        <f t="shared" si="7"/>
        <v/>
      </c>
      <c r="Q119" s="21"/>
      <c r="R119" s="72" t="str">
        <f t="shared" si="4"/>
        <v/>
      </c>
      <c r="S119" s="41"/>
      <c r="T119" s="164"/>
      <c r="U119" s="41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5"/>
      <c r="AP119" s="12"/>
      <c r="AQ119" s="12"/>
      <c r="AR119" s="12"/>
      <c r="AS119" s="12"/>
      <c r="AT119" s="12"/>
      <c r="AU119" s="12"/>
      <c r="AV119" s="12"/>
      <c r="AW119" s="12"/>
      <c r="AX119" s="35"/>
      <c r="AY119" s="35"/>
      <c r="AZ119" s="35"/>
      <c r="BA119" s="35"/>
      <c r="BB119" s="35"/>
      <c r="BC119" s="35"/>
      <c r="BD119" s="15"/>
      <c r="BE119" s="35"/>
      <c r="BF119" s="12"/>
      <c r="BG119" s="12"/>
      <c r="BH119" s="43"/>
      <c r="BI119" s="12"/>
    </row>
    <row r="120" spans="1:61" x14ac:dyDescent="0.3">
      <c r="A120" s="40"/>
      <c r="B120" s="83"/>
      <c r="C120" s="15"/>
      <c r="D120" s="15"/>
      <c r="E120" s="49"/>
      <c r="F120" s="80"/>
      <c r="G120" s="76"/>
      <c r="H120" s="76">
        <f t="shared" si="5"/>
        <v>0</v>
      </c>
      <c r="I120" s="17"/>
      <c r="J120" s="42"/>
      <c r="K120" s="40"/>
      <c r="L120" s="84"/>
      <c r="M120" s="39"/>
      <c r="N120" s="20"/>
      <c r="O120" s="46" t="str">
        <f t="shared" si="6"/>
        <v/>
      </c>
      <c r="P120" s="46" t="str">
        <f t="shared" si="7"/>
        <v/>
      </c>
      <c r="Q120" s="21"/>
      <c r="R120" s="72" t="str">
        <f t="shared" si="4"/>
        <v/>
      </c>
      <c r="S120" s="41"/>
      <c r="T120" s="164"/>
      <c r="U120" s="41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5"/>
      <c r="AP120" s="12"/>
      <c r="AQ120" s="12"/>
      <c r="AR120" s="12"/>
      <c r="AS120" s="12"/>
      <c r="AT120" s="12"/>
      <c r="AU120" s="12"/>
      <c r="AV120" s="12"/>
      <c r="AW120" s="12"/>
      <c r="AX120" s="35"/>
      <c r="AY120" s="35"/>
      <c r="AZ120" s="35"/>
      <c r="BA120" s="35"/>
      <c r="BB120" s="35"/>
      <c r="BC120" s="35"/>
      <c r="BD120" s="15"/>
      <c r="BE120" s="35"/>
      <c r="BF120" s="12"/>
      <c r="BG120" s="12"/>
      <c r="BH120" s="43"/>
      <c r="BI120" s="12"/>
    </row>
    <row r="121" spans="1:61" x14ac:dyDescent="0.3">
      <c r="A121" s="40"/>
      <c r="B121" s="83"/>
      <c r="C121" s="15"/>
      <c r="D121" s="15"/>
      <c r="E121" s="49"/>
      <c r="F121" s="80"/>
      <c r="G121" s="76"/>
      <c r="H121" s="76">
        <f t="shared" si="5"/>
        <v>0</v>
      </c>
      <c r="I121" s="17"/>
      <c r="J121" s="42"/>
      <c r="K121" s="40"/>
      <c r="L121" s="84"/>
      <c r="M121" s="39"/>
      <c r="N121" s="20"/>
      <c r="O121" s="46" t="str">
        <f t="shared" si="6"/>
        <v/>
      </c>
      <c r="P121" s="46" t="str">
        <f t="shared" si="7"/>
        <v/>
      </c>
      <c r="Q121" s="21"/>
      <c r="R121" s="72" t="str">
        <f t="shared" si="4"/>
        <v/>
      </c>
      <c r="S121" s="41"/>
      <c r="T121" s="164"/>
      <c r="U121" s="41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5"/>
      <c r="AP121" s="12"/>
      <c r="AQ121" s="12"/>
      <c r="AR121" s="12"/>
      <c r="AS121" s="12"/>
      <c r="AT121" s="12"/>
      <c r="AU121" s="12"/>
      <c r="AV121" s="12"/>
      <c r="AW121" s="12"/>
      <c r="AX121" s="35"/>
      <c r="AY121" s="35"/>
      <c r="AZ121" s="35"/>
      <c r="BA121" s="35"/>
      <c r="BB121" s="35"/>
      <c r="BC121" s="35"/>
      <c r="BD121" s="15"/>
      <c r="BE121" s="35"/>
      <c r="BF121" s="12"/>
      <c r="BG121" s="12"/>
      <c r="BH121" s="43"/>
      <c r="BI121" s="12"/>
    </row>
    <row r="122" spans="1:61" x14ac:dyDescent="0.3">
      <c r="A122" s="40"/>
      <c r="B122" s="83"/>
      <c r="C122" s="15"/>
      <c r="D122" s="15"/>
      <c r="E122" s="49"/>
      <c r="F122" s="80"/>
      <c r="G122" s="76"/>
      <c r="H122" s="76">
        <f t="shared" si="5"/>
        <v>0</v>
      </c>
      <c r="I122" s="17"/>
      <c r="J122" s="42"/>
      <c r="K122" s="40"/>
      <c r="L122" s="84"/>
      <c r="M122" s="39"/>
      <c r="N122" s="20"/>
      <c r="O122" s="46" t="str">
        <f t="shared" si="6"/>
        <v/>
      </c>
      <c r="P122" s="46" t="str">
        <f t="shared" si="7"/>
        <v/>
      </c>
      <c r="Q122" s="21"/>
      <c r="R122" s="72" t="str">
        <f t="shared" si="4"/>
        <v/>
      </c>
      <c r="S122" s="41"/>
      <c r="T122" s="164"/>
      <c r="U122" s="41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5"/>
      <c r="AP122" s="12"/>
      <c r="AQ122" s="12"/>
      <c r="AR122" s="12"/>
      <c r="AS122" s="12"/>
      <c r="AT122" s="12"/>
      <c r="AU122" s="12"/>
      <c r="AV122" s="12"/>
      <c r="AW122" s="12"/>
      <c r="AX122" s="35"/>
      <c r="AY122" s="35"/>
      <c r="AZ122" s="35"/>
      <c r="BA122" s="35"/>
      <c r="BB122" s="35"/>
      <c r="BC122" s="35"/>
      <c r="BD122" s="15"/>
      <c r="BE122" s="35"/>
      <c r="BF122" s="12"/>
      <c r="BG122" s="12"/>
      <c r="BH122" s="43"/>
      <c r="BI122" s="12"/>
    </row>
  </sheetData>
  <dataConsolidate/>
  <mergeCells count="5">
    <mergeCell ref="A5:E7"/>
    <mergeCell ref="E17:G17"/>
    <mergeCell ref="AH17:AM17"/>
    <mergeCell ref="O6:O16"/>
    <mergeCell ref="S15:U17"/>
  </mergeCells>
  <conditionalFormatting sqref="G19:H122">
    <cfRule type="containsText" dxfId="13" priority="12" operator="containsText" text="FALSE">
      <formula>NOT(ISERROR(SEARCH("FALSE",G19)))</formula>
    </cfRule>
  </conditionalFormatting>
  <conditionalFormatting sqref="R19:R122">
    <cfRule type="expression" dxfId="12" priority="1">
      <formula>AND(C19="Grocery_Bulk",R19&gt;=0.4,R19&lt;0.45)</formula>
    </cfRule>
    <cfRule type="expression" dxfId="11" priority="2">
      <formula>AND(C19="Grocery_Bulk",R19&gt;=0.45)</formula>
    </cfRule>
    <cfRule type="expression" dxfId="10" priority="3">
      <formula>AND(C19="Grocery_Dairy",R19&lt;0.3)</formula>
    </cfRule>
    <cfRule type="expression" dxfId="9" priority="4">
      <formula>AND(C19="Grocery_Dairy",R19&gt;=0.3,R19&lt;0.35)</formula>
    </cfRule>
    <cfRule type="expression" dxfId="8" priority="5">
      <formula>AND(C19="Grocery_Dairy",R19&gt;=0.35)</formula>
    </cfRule>
    <cfRule type="expression" dxfId="7" priority="6">
      <formula>AND(C19="Grocery",R19&lt;0.35)</formula>
    </cfRule>
    <cfRule type="expression" dxfId="6" priority="7">
      <formula>AND(C19="Grocery",R19&gt;=0.35,R19&lt;0.4)</formula>
    </cfRule>
    <cfRule type="expression" dxfId="5" priority="8">
      <formula>AND(C19="Grocery",R19&gt;=0.4)</formula>
    </cfRule>
    <cfRule type="expression" dxfId="4" priority="9">
      <formula>AND(C19="Grocery_Frozen",R19&lt;=0.4)</formula>
    </cfRule>
    <cfRule type="expression" dxfId="3" priority="10">
      <formula>AND(C19="Grocery_Frozen",R19&gt;=0.4,R19&lt;0.449)</formula>
    </cfRule>
    <cfRule type="expression" dxfId="2" priority="11">
      <formula>AND(C19="Grocery_Frozen",R19&gt;=0.45)</formula>
    </cfRule>
  </conditionalFormatting>
  <dataValidations xWindow="205" yWindow="830" count="5">
    <dataValidation type="custom" allowBlank="1" showInputMessage="1" showErrorMessage="1" errorTitle="UPC Formatting Errol" error="Please re-enter the UPC using no more than 13 numeric digits.  No spaces, dashes or single quote marks are allowed in this field." promptTitle="Enter UPC" prompt="  - Enter leading digit_x000a_  - No check digit _x000a_  - No more than 13 numeric digits_x000a__x000a_No spaces, dashes or single quote marks are allowed in this field." sqref="E19:E39 AO19:AO39" xr:uid="{00000000-0002-0000-0100-000000000000}">
      <formula1>AND(LEN(E19)&lt;14,E19&gt;0,E19&lt;9999999999999)</formula1>
    </dataValidation>
    <dataValidation type="list" allowBlank="1" showInputMessage="1" showErrorMessage="1" sqref="AH19:AN39" xr:uid="{00000000-0002-0000-0100-000001000000}">
      <formula1>"Yes, No"</formula1>
    </dataValidation>
    <dataValidation type="custom" allowBlank="1" showInputMessage="1" showErrorMessage="1" errorTitle="UPC Formatting Errol" error="Please re-enter the UPC using no more than 13 numeric digits.  No spaces, dashes or single quote marks are allowed in this field." promptTitle="Enter Check Digit" prompt="1 Numeric Digit_x000a__x000a_No spaces, dashes or single quote marks are allowed in this field." sqref="F19:F39" xr:uid="{00000000-0002-0000-0100-000002000000}">
      <formula1>AND(LEN(F19)=1,F19&lt;10)</formula1>
    </dataValidation>
    <dataValidation type="list" allowBlank="1" showInputMessage="1" showErrorMessage="1" promptTitle="Select Exclusivity" prompt="- None_x000a_- 60 Day_x000a_- 90 Day_x000a_- Control Label (120+ Days)_x000a_" sqref="A19:A39" xr:uid="{00000000-0002-0000-0100-000003000000}">
      <formula1>$N$7:$N$9</formula1>
    </dataValidation>
    <dataValidation type="list" allowBlank="1" showInputMessage="1" showErrorMessage="1" sqref="D20:D122" xr:uid="{00000000-0002-0000-0100-000004000000}">
      <formula1>INDIRECT(C20)</formula1>
    </dataValidation>
  </dataValidations>
  <hyperlinks>
    <hyperlink ref="BH19" r:id="rId1" xr:uid="{00000000-0004-0000-0100-000000000000}"/>
  </hyperlinks>
  <pageMargins left="0.2" right="0.21" top="0.28999999999999998" bottom="0.49" header="0.17" footer="0.3"/>
  <pageSetup scale="50" orientation="landscape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4" r:id="rId5" name="Check Box 20">
              <controlPr defaultSize="0" autoFill="0" autoLine="0" autoPict="0">
                <anchor moveWithCells="1">
                  <from>
                    <xdr:col>0</xdr:col>
                    <xdr:colOff>106680</xdr:colOff>
                    <xdr:row>6</xdr:row>
                    <xdr:rowOff>205740</xdr:rowOff>
                  </from>
                  <to>
                    <xdr:col>0</xdr:col>
                    <xdr:colOff>411480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6" name="Check Box 21">
              <controlPr defaultSize="0" autoFill="0" autoLine="0" autoPict="0">
                <anchor moveWithCells="1">
                  <from>
                    <xdr:col>0</xdr:col>
                    <xdr:colOff>106680</xdr:colOff>
                    <xdr:row>7</xdr:row>
                    <xdr:rowOff>205740</xdr:rowOff>
                  </from>
                  <to>
                    <xdr:col>0</xdr:col>
                    <xdr:colOff>411480</xdr:colOff>
                    <xdr:row>9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7" name="Check Box 22">
              <controlPr defaultSize="0" autoFill="0" autoLine="0" autoPict="0">
                <anchor moveWithCells="1">
                  <from>
                    <xdr:col>0</xdr:col>
                    <xdr:colOff>106680</xdr:colOff>
                    <xdr:row>10</xdr:row>
                    <xdr:rowOff>152400</xdr:rowOff>
                  </from>
                  <to>
                    <xdr:col>0</xdr:col>
                    <xdr:colOff>411480</xdr:colOff>
                    <xdr:row>12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8" name="Check Box 23">
              <controlPr defaultSize="0" autoFill="0" autoLine="0" autoPict="0">
                <anchor moveWithCells="1">
                  <from>
                    <xdr:col>0</xdr:col>
                    <xdr:colOff>106680</xdr:colOff>
                    <xdr:row>12</xdr:row>
                    <xdr:rowOff>152400</xdr:rowOff>
                  </from>
                  <to>
                    <xdr:col>0</xdr:col>
                    <xdr:colOff>411480</xdr:colOff>
                    <xdr:row>14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9" name="Check Box 24">
              <controlPr defaultSize="0" autoFill="0" autoLine="0" autoPict="0">
                <anchor moveWithCells="1">
                  <from>
                    <xdr:col>0</xdr:col>
                    <xdr:colOff>106680</xdr:colOff>
                    <xdr:row>9</xdr:row>
                    <xdr:rowOff>167640</xdr:rowOff>
                  </from>
                  <to>
                    <xdr:col>0</xdr:col>
                    <xdr:colOff>411480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0" name="Check Box 25">
              <controlPr defaultSize="0" autoFill="0" autoLine="0" autoPict="0">
                <anchor moveWithCells="1">
                  <from>
                    <xdr:col>0</xdr:col>
                    <xdr:colOff>106680</xdr:colOff>
                    <xdr:row>9</xdr:row>
                    <xdr:rowOff>0</xdr:rowOff>
                  </from>
                  <to>
                    <xdr:col>0</xdr:col>
                    <xdr:colOff>411480</xdr:colOff>
                    <xdr:row>10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1" name="Check Box 26">
              <controlPr defaultSize="0" autoFill="0" autoLine="0" autoPict="0">
                <anchor moveWithCells="1">
                  <from>
                    <xdr:col>0</xdr:col>
                    <xdr:colOff>106680</xdr:colOff>
                    <xdr:row>11</xdr:row>
                    <xdr:rowOff>144780</xdr:rowOff>
                  </from>
                  <to>
                    <xdr:col>0</xdr:col>
                    <xdr:colOff>411480</xdr:colOff>
                    <xdr:row>13</xdr:row>
                    <xdr:rowOff>38100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xWindow="205" yWindow="830" count="1">
        <x14:dataValidation type="list" allowBlank="1" showInputMessage="1" showErrorMessage="1" xr:uid="{00000000-0002-0000-0100-000006000000}">
          <x14:formula1>
            <xm:f>New_Categories!$B$1:$J$1</xm:f>
          </x14:formula1>
          <xm:sqref>C20:C122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Q50"/>
  <sheetViews>
    <sheetView showGridLines="0" zoomScale="70" zoomScaleNormal="70" workbookViewId="0">
      <selection activeCell="H17" sqref="H17"/>
    </sheetView>
  </sheetViews>
  <sheetFormatPr defaultColWidth="9.21875" defaultRowHeight="15" x14ac:dyDescent="0.25"/>
  <cols>
    <col min="1" max="1" width="8.77734375" style="8" customWidth="1"/>
    <col min="2" max="2" width="14.21875" style="8" customWidth="1"/>
    <col min="3" max="3" width="23.77734375" style="8" customWidth="1"/>
    <col min="4" max="4" width="18.77734375" style="8" customWidth="1"/>
    <col min="5" max="5" width="8.44140625" style="8" customWidth="1"/>
    <col min="6" max="6" width="8.77734375" style="8" bestFit="1" customWidth="1"/>
    <col min="7" max="7" width="23" style="8" customWidth="1"/>
    <col min="8" max="8" width="52.77734375" style="8" bestFit="1" customWidth="1"/>
    <col min="9" max="9" width="9.77734375" style="8" customWidth="1"/>
    <col min="10" max="10" width="6.21875" style="8" bestFit="1" customWidth="1"/>
    <col min="11" max="11" width="7.44140625" style="8" customWidth="1"/>
    <col min="12" max="12" width="19.21875" style="8" customWidth="1"/>
    <col min="13" max="13" width="40.21875" style="8" customWidth="1"/>
    <col min="14" max="14" width="21.77734375" style="8" customWidth="1"/>
    <col min="15" max="15" width="21.44140625" style="8" customWidth="1"/>
    <col min="16" max="16" width="23" style="8" customWidth="1"/>
    <col min="17" max="17" width="16.21875" style="8" customWidth="1"/>
    <col min="18" max="16384" width="9.21875" style="8"/>
  </cols>
  <sheetData>
    <row r="1" spans="1:17" ht="17.2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7" t="s">
        <v>59</v>
      </c>
    </row>
    <row r="2" spans="1:17" ht="33.75" customHeight="1" x14ac:dyDescent="0.25">
      <c r="A2" s="23"/>
      <c r="B2" s="23"/>
      <c r="C2" s="23"/>
      <c r="D2" s="23"/>
      <c r="E2" s="23"/>
      <c r="F2" s="23"/>
      <c r="G2" s="23"/>
      <c r="H2" s="23"/>
      <c r="I2" s="26" t="s">
        <v>57</v>
      </c>
      <c r="J2" s="23"/>
      <c r="K2" s="23"/>
      <c r="L2" s="23"/>
      <c r="M2" s="23"/>
      <c r="N2" s="27" t="s">
        <v>64</v>
      </c>
    </row>
    <row r="3" spans="1:17" ht="17.2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7" t="s">
        <v>60</v>
      </c>
    </row>
    <row r="4" spans="1:17" ht="17.2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7" t="s">
        <v>61</v>
      </c>
    </row>
    <row r="5" spans="1:17" ht="15.75" customHeight="1" x14ac:dyDescent="0.25">
      <c r="B5" s="24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7" t="s">
        <v>62</v>
      </c>
    </row>
    <row r="6" spans="1:17" ht="15.75" customHeight="1" x14ac:dyDescent="0.25">
      <c r="A6" s="24"/>
      <c r="B6" s="25"/>
      <c r="C6" s="14"/>
      <c r="D6" s="14"/>
      <c r="E6" s="14"/>
      <c r="F6" s="14"/>
      <c r="G6" s="14"/>
      <c r="H6" s="14"/>
      <c r="I6" s="14"/>
      <c r="J6" s="14"/>
      <c r="K6" s="14"/>
      <c r="L6" s="14"/>
      <c r="M6" s="186"/>
    </row>
    <row r="7" spans="1:17" ht="21" x14ac:dyDescent="0.4">
      <c r="A7" s="3"/>
      <c r="B7" s="4"/>
      <c r="C7" s="4"/>
      <c r="D7" s="4"/>
      <c r="E7" s="5"/>
      <c r="F7" s="5"/>
      <c r="G7" s="5"/>
      <c r="H7" s="6"/>
      <c r="I7" s="7"/>
      <c r="J7" s="1"/>
      <c r="K7" s="10"/>
      <c r="L7" s="9"/>
      <c r="M7" s="187"/>
      <c r="N7" s="30" t="s">
        <v>41</v>
      </c>
      <c r="O7" s="31"/>
      <c r="P7" s="31"/>
      <c r="Q7" s="33"/>
    </row>
    <row r="8" spans="1:17" s="18" customFormat="1" ht="113.25" customHeight="1" thickBot="1" x14ac:dyDescent="0.35">
      <c r="A8" s="44" t="s">
        <v>56</v>
      </c>
      <c r="B8" s="44" t="s">
        <v>24</v>
      </c>
      <c r="C8" s="44" t="s">
        <v>4</v>
      </c>
      <c r="D8" s="44" t="s">
        <v>21</v>
      </c>
      <c r="E8" s="44" t="s">
        <v>20</v>
      </c>
      <c r="F8" s="36" t="s">
        <v>55</v>
      </c>
      <c r="G8" s="44" t="s">
        <v>0</v>
      </c>
      <c r="H8" s="44" t="s">
        <v>1</v>
      </c>
      <c r="I8" s="44" t="s">
        <v>13</v>
      </c>
      <c r="J8" s="44" t="s">
        <v>14</v>
      </c>
      <c r="K8" s="44" t="s">
        <v>35</v>
      </c>
      <c r="L8" s="44" t="s">
        <v>63</v>
      </c>
      <c r="M8" s="44" t="s">
        <v>58</v>
      </c>
      <c r="N8" s="32" t="s">
        <v>37</v>
      </c>
      <c r="O8" s="32" t="s">
        <v>38</v>
      </c>
      <c r="P8" s="32" t="s">
        <v>39</v>
      </c>
      <c r="Q8" s="32" t="s">
        <v>40</v>
      </c>
    </row>
    <row r="9" spans="1:17" s="141" customFormat="1" ht="15.6" x14ac:dyDescent="0.3">
      <c r="A9" s="132" t="s">
        <v>2</v>
      </c>
      <c r="B9" s="133" t="s">
        <v>16</v>
      </c>
      <c r="C9" s="133" t="s">
        <v>113</v>
      </c>
      <c r="D9" s="134">
        <v>12345678901</v>
      </c>
      <c r="E9" s="135">
        <v>6</v>
      </c>
      <c r="F9" s="136" t="b">
        <f>IF(E9="","",MOD(10-MOD(SUMPRODUCT(--(MID(RIGHT("00000000000"&amp;D9,11),{1,3,5,7,9,11},1)))*3+SUMPRODUCT(--(MID(RIGHT("00000000000"&amp;D9,11),{2,4,6,8,10},1))),10),10)=E9)</f>
        <v>0</v>
      </c>
      <c r="G9" s="137" t="s">
        <v>136</v>
      </c>
      <c r="H9" s="138" t="s">
        <v>137</v>
      </c>
      <c r="I9" s="139" t="s">
        <v>109</v>
      </c>
      <c r="J9" s="138">
        <v>1</v>
      </c>
      <c r="K9" s="139" t="s">
        <v>18</v>
      </c>
      <c r="L9" s="139" t="s">
        <v>143</v>
      </c>
      <c r="M9" s="139" t="s">
        <v>64</v>
      </c>
      <c r="N9" s="139" t="s">
        <v>136</v>
      </c>
      <c r="O9" s="139" t="s">
        <v>140</v>
      </c>
      <c r="P9" s="140" t="s">
        <v>141</v>
      </c>
      <c r="Q9" s="139" t="s">
        <v>142</v>
      </c>
    </row>
    <row r="10" spans="1:17" s="2" customFormat="1" ht="15.6" x14ac:dyDescent="0.3">
      <c r="A10" s="38"/>
      <c r="B10" s="45"/>
      <c r="C10" s="45"/>
      <c r="D10" s="49"/>
      <c r="E10" s="15"/>
      <c r="F10" s="16" t="str">
        <f>IF(E10="","",MOD(10-MOD(SUMPRODUCT(--(MID(RIGHT("00000000000"&amp;D10,11),{1,3,5,7,9,11},1)))*3+SUMPRODUCT(--(MID(RIGHT("00000000000"&amp;D10,11),{2,4,6,8,10},1))),10),10)=E10)</f>
        <v/>
      </c>
      <c r="G10" s="17"/>
      <c r="H10" s="42"/>
      <c r="I10" s="12"/>
      <c r="J10" s="42"/>
      <c r="K10" s="12"/>
      <c r="L10" s="12"/>
      <c r="M10" s="12"/>
      <c r="N10" s="12"/>
      <c r="O10" s="12"/>
      <c r="P10" s="43"/>
      <c r="Q10" s="12"/>
    </row>
    <row r="11" spans="1:17" s="2" customFormat="1" ht="15.6" x14ac:dyDescent="0.3">
      <c r="A11" s="38"/>
      <c r="B11" s="45"/>
      <c r="C11" s="45"/>
      <c r="D11" s="49"/>
      <c r="E11" s="15"/>
      <c r="F11" s="16" t="str">
        <f>IF(E11="","",MOD(10-MOD(SUMPRODUCT(--(MID(RIGHT("00000000000"&amp;D11,11),{1,3,5,7,9,11},1)))*3+SUMPRODUCT(--(MID(RIGHT("00000000000"&amp;D11,11),{2,4,6,8,10},1))),10),10)=E11)</f>
        <v/>
      </c>
      <c r="G11" s="17"/>
      <c r="H11" s="42"/>
      <c r="I11" s="12"/>
      <c r="J11" s="42"/>
      <c r="K11" s="12"/>
      <c r="L11" s="12"/>
      <c r="M11" s="12"/>
      <c r="N11" s="12"/>
      <c r="O11" s="12"/>
      <c r="P11" s="43"/>
      <c r="Q11" s="12"/>
    </row>
    <row r="12" spans="1:17" s="2" customFormat="1" ht="15.6" x14ac:dyDescent="0.3">
      <c r="A12" s="38"/>
      <c r="B12" s="45"/>
      <c r="C12" s="45"/>
      <c r="D12" s="49"/>
      <c r="E12" s="15"/>
      <c r="F12" s="16" t="str">
        <f>IF(E12="","",MOD(10-MOD(SUMPRODUCT(--(MID(RIGHT("00000000000"&amp;D12,11),{1,3,5,7,9,11},1)))*3+SUMPRODUCT(--(MID(RIGHT("00000000000"&amp;D12,11),{2,4,6,8,10},1))),10),10)=E12)</f>
        <v/>
      </c>
      <c r="G12" s="17"/>
      <c r="H12" s="42"/>
      <c r="I12" s="12"/>
      <c r="J12" s="42"/>
      <c r="K12" s="12"/>
      <c r="L12" s="12"/>
      <c r="M12" s="12"/>
      <c r="N12" s="12"/>
      <c r="O12" s="12"/>
      <c r="P12" s="43"/>
      <c r="Q12" s="12"/>
    </row>
    <row r="13" spans="1:17" s="2" customFormat="1" ht="15.6" x14ac:dyDescent="0.3">
      <c r="A13" s="38"/>
      <c r="B13" s="45"/>
      <c r="C13" s="45"/>
      <c r="D13" s="49"/>
      <c r="E13" s="15"/>
      <c r="F13" s="16" t="str">
        <f>IF(E13="","",MOD(10-MOD(SUMPRODUCT(--(MID(RIGHT("00000000000"&amp;D13,11),{1,3,5,7,9,11},1)))*3+SUMPRODUCT(--(MID(RIGHT("00000000000"&amp;D13,11),{2,4,6,8,10},1))),10),10)=E13)</f>
        <v/>
      </c>
      <c r="G13" s="17"/>
      <c r="H13" s="42"/>
      <c r="I13" s="12"/>
      <c r="J13" s="42"/>
      <c r="K13" s="12"/>
      <c r="L13" s="12"/>
      <c r="M13" s="12"/>
      <c r="N13" s="12"/>
      <c r="O13" s="12"/>
      <c r="P13" s="43"/>
      <c r="Q13" s="12"/>
    </row>
    <row r="14" spans="1:17" s="2" customFormat="1" ht="15.6" x14ac:dyDescent="0.3">
      <c r="A14" s="38"/>
      <c r="B14" s="45"/>
      <c r="C14" s="45"/>
      <c r="D14" s="49"/>
      <c r="E14" s="15"/>
      <c r="F14" s="16" t="str">
        <f>IF(E14="","",MOD(10-MOD(SUMPRODUCT(--(MID(RIGHT("00000000000"&amp;D14,11),{1,3,5,7,9,11},1)))*3+SUMPRODUCT(--(MID(RIGHT("00000000000"&amp;D14,11),{2,4,6,8,10},1))),10),10)=E14)</f>
        <v/>
      </c>
      <c r="G14" s="17"/>
      <c r="H14" s="42"/>
      <c r="I14" s="12"/>
      <c r="J14" s="12"/>
      <c r="K14" s="12"/>
      <c r="L14" s="12"/>
      <c r="M14" s="12"/>
      <c r="N14" s="12"/>
      <c r="O14" s="12"/>
      <c r="P14" s="43"/>
      <c r="Q14" s="12"/>
    </row>
    <row r="15" spans="1:17" s="2" customFormat="1" ht="15.6" x14ac:dyDescent="0.3">
      <c r="A15" s="38"/>
      <c r="B15" s="45"/>
      <c r="C15" s="45"/>
      <c r="D15" s="49"/>
      <c r="E15" s="15"/>
      <c r="F15" s="16" t="str">
        <f>IF(E15="","",MOD(10-MOD(SUMPRODUCT(--(MID(RIGHT("00000000000"&amp;D15,11),{1,3,5,7,9,11},1)))*3+SUMPRODUCT(--(MID(RIGHT("00000000000"&amp;D15,11),{2,4,6,8,10},1))),10),10)=E15)</f>
        <v/>
      </c>
      <c r="G15" s="17"/>
      <c r="H15" s="42"/>
      <c r="I15" s="12"/>
      <c r="J15" s="12"/>
      <c r="K15" s="12"/>
      <c r="L15" s="12"/>
      <c r="M15" s="12"/>
      <c r="N15" s="12"/>
      <c r="O15" s="12"/>
      <c r="P15" s="43"/>
      <c r="Q15" s="12"/>
    </row>
    <row r="16" spans="1:17" s="2" customFormat="1" ht="15.6" x14ac:dyDescent="0.3">
      <c r="A16" s="38"/>
      <c r="B16" s="45"/>
      <c r="C16" s="45"/>
      <c r="D16" s="49"/>
      <c r="E16" s="15"/>
      <c r="F16" s="16" t="str">
        <f>IF(E16="","",MOD(10-MOD(SUMPRODUCT(--(MID(RIGHT("00000000000"&amp;D16,11),{1,3,5,7,9,11},1)))*3+SUMPRODUCT(--(MID(RIGHT("00000000000"&amp;D16,11),{2,4,6,8,10},1))),10),10)=E16)</f>
        <v/>
      </c>
      <c r="G16" s="17"/>
      <c r="H16" s="42"/>
      <c r="I16" s="12"/>
      <c r="J16" s="12"/>
      <c r="K16" s="12"/>
      <c r="L16" s="12"/>
      <c r="M16" s="12"/>
      <c r="N16" s="12"/>
      <c r="O16" s="12"/>
      <c r="P16" s="43"/>
      <c r="Q16" s="12"/>
    </row>
    <row r="17" spans="1:17" s="2" customFormat="1" ht="15.6" x14ac:dyDescent="0.3">
      <c r="A17" s="38"/>
      <c r="B17" s="45"/>
      <c r="C17" s="45"/>
      <c r="D17" s="49"/>
      <c r="E17" s="15"/>
      <c r="F17" s="16" t="str">
        <f>IF(E17="","",MOD(10-MOD(SUMPRODUCT(--(MID(RIGHT("00000000000"&amp;D17,11),{1,3,5,7,9,11},1)))*3+SUMPRODUCT(--(MID(RIGHT("00000000000"&amp;D17,11),{2,4,6,8,10},1))),10),10)=E17)</f>
        <v/>
      </c>
      <c r="G17" s="17"/>
      <c r="H17" s="42"/>
      <c r="I17" s="12"/>
      <c r="J17" s="12"/>
      <c r="K17" s="12"/>
      <c r="L17" s="12"/>
      <c r="M17" s="12"/>
      <c r="N17" s="12"/>
      <c r="O17" s="12"/>
      <c r="P17" s="43"/>
      <c r="Q17" s="12"/>
    </row>
    <row r="18" spans="1:17" s="2" customFormat="1" ht="15.6" x14ac:dyDescent="0.3">
      <c r="A18" s="38"/>
      <c r="B18" s="45"/>
      <c r="C18" s="45"/>
      <c r="D18" s="49"/>
      <c r="E18" s="15"/>
      <c r="F18" s="16" t="str">
        <f>IF(E18="","",MOD(10-MOD(SUMPRODUCT(--(MID(RIGHT("00000000000"&amp;D18,11),{1,3,5,7,9,11},1)))*3+SUMPRODUCT(--(MID(RIGHT("00000000000"&amp;D18,11),{2,4,6,8,10},1))),10),10)=E18)</f>
        <v/>
      </c>
      <c r="G18" s="17"/>
      <c r="H18" s="42"/>
      <c r="I18" s="12"/>
      <c r="J18" s="12"/>
      <c r="K18" s="12"/>
      <c r="L18" s="12"/>
      <c r="M18" s="12"/>
      <c r="N18" s="12"/>
      <c r="O18" s="12"/>
      <c r="P18" s="43"/>
      <c r="Q18" s="12"/>
    </row>
    <row r="19" spans="1:17" s="2" customFormat="1" ht="15.6" x14ac:dyDescent="0.3">
      <c r="A19" s="38"/>
      <c r="B19" s="45"/>
      <c r="C19" s="45"/>
      <c r="D19" s="49"/>
      <c r="E19" s="15"/>
      <c r="F19" s="16" t="str">
        <f>IF(E19="","",MOD(10-MOD(SUMPRODUCT(--(MID(RIGHT("00000000000"&amp;D19,11),{1,3,5,7,9,11},1)))*3+SUMPRODUCT(--(MID(RIGHT("00000000000"&amp;D19,11),{2,4,6,8,10},1))),10),10)=E19)</f>
        <v/>
      </c>
      <c r="G19" s="17"/>
      <c r="H19" s="42"/>
      <c r="I19" s="12"/>
      <c r="J19" s="12"/>
      <c r="K19" s="12"/>
      <c r="L19" s="12"/>
      <c r="M19" s="12"/>
      <c r="N19" s="12"/>
      <c r="O19" s="12"/>
      <c r="P19" s="43"/>
      <c r="Q19" s="12"/>
    </row>
    <row r="20" spans="1:17" s="2" customFormat="1" ht="15.6" x14ac:dyDescent="0.3">
      <c r="A20" s="38"/>
      <c r="B20" s="45"/>
      <c r="C20" s="45"/>
      <c r="D20" s="49"/>
      <c r="E20" s="15"/>
      <c r="F20" s="16" t="str">
        <f>IF(E20="","",MOD(10-MOD(SUMPRODUCT(--(MID(RIGHT("00000000000"&amp;D20,11),{1,3,5,7,9,11},1)))*3+SUMPRODUCT(--(MID(RIGHT("00000000000"&amp;D20,11),{2,4,6,8,10},1))),10),10)=E20)</f>
        <v/>
      </c>
      <c r="G20" s="17"/>
      <c r="H20" s="42"/>
      <c r="I20" s="12"/>
      <c r="J20" s="12"/>
      <c r="K20" s="12"/>
      <c r="L20" s="12"/>
      <c r="M20" s="12"/>
      <c r="N20" s="12"/>
      <c r="O20" s="12"/>
      <c r="P20" s="43"/>
      <c r="Q20" s="12"/>
    </row>
    <row r="21" spans="1:17" s="2" customFormat="1" ht="15.6" x14ac:dyDescent="0.3">
      <c r="A21" s="38"/>
      <c r="B21" s="45"/>
      <c r="C21" s="45"/>
      <c r="D21" s="49"/>
      <c r="E21" s="15"/>
      <c r="F21" s="16" t="str">
        <f>IF(E21="","",MOD(10-MOD(SUMPRODUCT(--(MID(RIGHT("00000000000"&amp;D21,11),{1,3,5,7,9,11},1)))*3+SUMPRODUCT(--(MID(RIGHT("00000000000"&amp;D21,11),{2,4,6,8,10},1))),10),10)=E21)</f>
        <v/>
      </c>
      <c r="G21" s="17"/>
      <c r="H21" s="42"/>
      <c r="I21" s="12"/>
      <c r="J21" s="12"/>
      <c r="K21" s="12"/>
      <c r="L21" s="12"/>
      <c r="M21" s="12"/>
      <c r="N21" s="12"/>
      <c r="O21" s="12"/>
      <c r="P21" s="43"/>
      <c r="Q21" s="12"/>
    </row>
    <row r="22" spans="1:17" s="2" customFormat="1" ht="15.6" x14ac:dyDescent="0.3">
      <c r="A22" s="38"/>
      <c r="B22" s="45"/>
      <c r="C22" s="45"/>
      <c r="D22" s="49"/>
      <c r="E22" s="15"/>
      <c r="F22" s="16" t="str">
        <f>IF(E22="","",MOD(10-MOD(SUMPRODUCT(--(MID(RIGHT("00000000000"&amp;D22,11),{1,3,5,7,9,11},1)))*3+SUMPRODUCT(--(MID(RIGHT("00000000000"&amp;D22,11),{2,4,6,8,10},1))),10),10)=E22)</f>
        <v/>
      </c>
      <c r="G22" s="17"/>
      <c r="H22" s="42"/>
      <c r="I22" s="12"/>
      <c r="J22" s="12"/>
      <c r="K22" s="12"/>
      <c r="L22" s="12"/>
      <c r="M22" s="12"/>
      <c r="N22" s="12"/>
      <c r="O22" s="12"/>
      <c r="P22" s="43"/>
      <c r="Q22" s="12"/>
    </row>
    <row r="23" spans="1:17" s="2" customFormat="1" ht="15.6" x14ac:dyDescent="0.3">
      <c r="A23" s="38"/>
      <c r="B23" s="45"/>
      <c r="C23" s="45"/>
      <c r="D23" s="49"/>
      <c r="E23" s="15"/>
      <c r="F23" s="16" t="str">
        <f>IF(E23="","",MOD(10-MOD(SUMPRODUCT(--(MID(RIGHT("00000000000"&amp;D23,11),{1,3,5,7,9,11},1)))*3+SUMPRODUCT(--(MID(RIGHT("00000000000"&amp;D23,11),{2,4,6,8,10},1))),10),10)=E23)</f>
        <v/>
      </c>
      <c r="G23" s="17"/>
      <c r="H23" s="42"/>
      <c r="I23" s="12"/>
      <c r="J23" s="12"/>
      <c r="K23" s="12"/>
      <c r="L23" s="12"/>
      <c r="M23" s="12"/>
      <c r="N23" s="12"/>
      <c r="O23" s="12"/>
      <c r="P23" s="43"/>
      <c r="Q23" s="12"/>
    </row>
    <row r="24" spans="1:17" s="2" customFormat="1" ht="15.6" x14ac:dyDescent="0.3">
      <c r="A24" s="38"/>
      <c r="B24" s="45"/>
      <c r="C24" s="45"/>
      <c r="D24" s="49"/>
      <c r="E24" s="15"/>
      <c r="F24" s="16" t="str">
        <f>IF(E24="","",MOD(10-MOD(SUMPRODUCT(--(MID(RIGHT("00000000000"&amp;D24,11),{1,3,5,7,9,11},1)))*3+SUMPRODUCT(--(MID(RIGHT("00000000000"&amp;D24,11),{2,4,6,8,10},1))),10),10)=E24)</f>
        <v/>
      </c>
      <c r="G24" s="17"/>
      <c r="H24" s="42"/>
      <c r="I24" s="12"/>
      <c r="J24" s="12"/>
      <c r="K24" s="12"/>
      <c r="L24" s="12"/>
      <c r="M24" s="12"/>
      <c r="N24" s="12"/>
      <c r="O24" s="12"/>
      <c r="P24" s="43"/>
      <c r="Q24" s="12"/>
    </row>
    <row r="25" spans="1:17" s="2" customFormat="1" ht="15.6" x14ac:dyDescent="0.3">
      <c r="A25" s="38"/>
      <c r="B25" s="45"/>
      <c r="C25" s="45"/>
      <c r="D25" s="49"/>
      <c r="E25" s="15"/>
      <c r="F25" s="16" t="str">
        <f>IF(E25="","",MOD(10-MOD(SUMPRODUCT(--(MID(RIGHT("00000000000"&amp;D25,11),{1,3,5,7,9,11},1)))*3+SUMPRODUCT(--(MID(RIGHT("00000000000"&amp;D25,11),{2,4,6,8,10},1))),10),10)=E25)</f>
        <v/>
      </c>
      <c r="G25" s="17"/>
      <c r="H25" s="42"/>
      <c r="I25" s="12"/>
      <c r="J25" s="12"/>
      <c r="K25" s="12"/>
      <c r="L25" s="12"/>
      <c r="M25" s="12"/>
      <c r="N25" s="12"/>
      <c r="O25" s="12"/>
      <c r="P25" s="43"/>
      <c r="Q25" s="12"/>
    </row>
    <row r="26" spans="1:17" s="2" customFormat="1" ht="15.6" x14ac:dyDescent="0.3">
      <c r="A26" s="38"/>
      <c r="B26" s="45"/>
      <c r="C26" s="45"/>
      <c r="D26" s="49"/>
      <c r="E26" s="15"/>
      <c r="F26" s="16" t="str">
        <f>IF(E26="","",MOD(10-MOD(SUMPRODUCT(--(MID(RIGHT("00000000000"&amp;D26,11),{1,3,5,7,9,11},1)))*3+SUMPRODUCT(--(MID(RIGHT("00000000000"&amp;D26,11),{2,4,6,8,10},1))),10),10)=E26)</f>
        <v/>
      </c>
      <c r="G26" s="17"/>
      <c r="H26" s="42"/>
      <c r="I26" s="12"/>
      <c r="J26" s="12"/>
      <c r="K26" s="12"/>
      <c r="L26" s="12"/>
      <c r="M26" s="12"/>
      <c r="N26" s="12"/>
      <c r="O26" s="12"/>
      <c r="P26" s="43"/>
      <c r="Q26" s="12"/>
    </row>
    <row r="27" spans="1:17" s="2" customFormat="1" ht="15.6" x14ac:dyDescent="0.3">
      <c r="A27" s="38"/>
      <c r="B27" s="45"/>
      <c r="C27" s="45"/>
      <c r="D27" s="49"/>
      <c r="E27" s="15"/>
      <c r="F27" s="16" t="str">
        <f>IF(E27="","",MOD(10-MOD(SUMPRODUCT(--(MID(RIGHT("00000000000"&amp;D27,11),{1,3,5,7,9,11},1)))*3+SUMPRODUCT(--(MID(RIGHT("00000000000"&amp;D27,11),{2,4,6,8,10},1))),10),10)=E27)</f>
        <v/>
      </c>
      <c r="G27" s="17"/>
      <c r="H27" s="42"/>
      <c r="I27" s="12"/>
      <c r="J27" s="12"/>
      <c r="K27" s="12"/>
      <c r="L27" s="12"/>
      <c r="M27" s="12"/>
      <c r="N27" s="12"/>
      <c r="O27" s="12"/>
      <c r="P27" s="43"/>
      <c r="Q27" s="12"/>
    </row>
    <row r="28" spans="1:17" s="2" customFormat="1" ht="15.6" x14ac:dyDescent="0.3">
      <c r="A28" s="38"/>
      <c r="B28" s="45"/>
      <c r="C28" s="45"/>
      <c r="D28" s="49"/>
      <c r="E28" s="15"/>
      <c r="F28" s="16" t="str">
        <f>IF(E28="","",MOD(10-MOD(SUMPRODUCT(--(MID(RIGHT("00000000000"&amp;D28,11),{1,3,5,7,9,11},1)))*3+SUMPRODUCT(--(MID(RIGHT("00000000000"&amp;D28,11),{2,4,6,8,10},1))),10),10)=E28)</f>
        <v/>
      </c>
      <c r="G28" s="17"/>
      <c r="H28" s="42"/>
      <c r="I28" s="12"/>
      <c r="J28" s="85"/>
      <c r="K28" s="12"/>
      <c r="L28" s="12"/>
      <c r="M28" s="12"/>
      <c r="N28" s="12"/>
      <c r="O28" s="12"/>
      <c r="P28" s="43"/>
      <c r="Q28" s="12"/>
    </row>
    <row r="29" spans="1:17" s="2" customFormat="1" ht="15.6" x14ac:dyDescent="0.3">
      <c r="A29" s="38"/>
      <c r="B29" s="45"/>
      <c r="C29" s="45"/>
      <c r="D29" s="49"/>
      <c r="E29" s="15"/>
      <c r="F29" s="16" t="str">
        <f>IF(E29="","",MOD(10-MOD(SUMPRODUCT(--(MID(RIGHT("00000000000"&amp;D29,11),{1,3,5,7,9,11},1)))*3+SUMPRODUCT(--(MID(RIGHT("00000000000"&amp;D29,11),{2,4,6,8,10},1))),10),10)=E29)</f>
        <v/>
      </c>
      <c r="G29" s="17"/>
      <c r="H29" s="42"/>
      <c r="I29" s="12"/>
      <c r="J29" s="85"/>
      <c r="K29" s="12"/>
      <c r="L29" s="12"/>
      <c r="M29" s="12"/>
      <c r="N29" s="12"/>
      <c r="O29" s="12"/>
      <c r="P29" s="43"/>
      <c r="Q29" s="12"/>
    </row>
    <row r="30" spans="1:17" s="2" customFormat="1" ht="15.6" x14ac:dyDescent="0.3">
      <c r="A30" s="16"/>
      <c r="B30" s="45"/>
      <c r="C30" s="45"/>
      <c r="D30" s="49"/>
      <c r="E30" s="15"/>
      <c r="F30" s="16" t="str">
        <f>IF(E30="","",MOD(10-MOD(SUMPRODUCT(--(MID(RIGHT("00000000000"&amp;D30,11),{1,3,5,7,9,11},1)))*3+SUMPRODUCT(--(MID(RIGHT("00000000000"&amp;D30,11),{2,4,6,8,10},1))),10),10)=E30)</f>
        <v/>
      </c>
      <c r="G30" s="17"/>
      <c r="H30" s="42"/>
      <c r="I30" s="42"/>
      <c r="J30" s="12"/>
      <c r="K30" s="12"/>
      <c r="L30" s="12"/>
      <c r="M30" s="12"/>
      <c r="N30" s="12"/>
      <c r="O30" s="12"/>
      <c r="P30" s="12"/>
      <c r="Q30" s="12"/>
    </row>
    <row r="31" spans="1:17" s="2" customFormat="1" ht="15.6" x14ac:dyDescent="0.3">
      <c r="A31" s="16"/>
      <c r="B31" s="45"/>
      <c r="C31" s="45"/>
      <c r="D31" s="49"/>
      <c r="E31" s="15"/>
      <c r="F31" s="16" t="str">
        <f>IF(E31="","",MOD(10-MOD(SUMPRODUCT(--(MID(RIGHT("00000000000"&amp;D31,11),{1,3,5,7,9,11},1)))*3+SUMPRODUCT(--(MID(RIGHT("00000000000"&amp;D31,11),{2,4,6,8,10},1))),10),10)=E31)</f>
        <v/>
      </c>
      <c r="G31" s="17"/>
      <c r="H31" s="42"/>
      <c r="I31" s="42"/>
      <c r="J31" s="12"/>
      <c r="K31" s="12"/>
      <c r="L31" s="12"/>
      <c r="M31" s="12"/>
      <c r="N31" s="12"/>
      <c r="O31" s="12"/>
      <c r="P31" s="12"/>
      <c r="Q31" s="12"/>
    </row>
    <row r="32" spans="1:17" s="2" customFormat="1" ht="15.6" x14ac:dyDescent="0.3">
      <c r="A32" s="16"/>
      <c r="B32" s="45"/>
      <c r="C32" s="45"/>
      <c r="D32" s="49"/>
      <c r="E32" s="15"/>
      <c r="F32" s="16" t="str">
        <f>IF(E32="","",MOD(10-MOD(SUMPRODUCT(--(MID(RIGHT("00000000000"&amp;D32,11),{1,3,5,7,9,11},1)))*3+SUMPRODUCT(--(MID(RIGHT("00000000000"&amp;D32,11),{2,4,6,8,10},1))),10),10)=E32)</f>
        <v/>
      </c>
      <c r="G32" s="17"/>
      <c r="H32" s="42"/>
      <c r="I32" s="42"/>
      <c r="J32" s="12"/>
      <c r="K32" s="12"/>
      <c r="L32" s="12"/>
      <c r="M32" s="12"/>
      <c r="N32" s="12"/>
      <c r="O32" s="12"/>
      <c r="P32" s="12"/>
      <c r="Q32" s="12"/>
    </row>
    <row r="33" spans="1:17" s="2" customFormat="1" ht="15.6" x14ac:dyDescent="0.3">
      <c r="A33" s="16"/>
      <c r="B33" s="45"/>
      <c r="C33" s="45"/>
      <c r="D33" s="49"/>
      <c r="E33" s="15"/>
      <c r="F33" s="16" t="str">
        <f>IF(E33="","",MOD(10-MOD(SUMPRODUCT(--(MID(RIGHT("00000000000"&amp;D33,11),{1,3,5,7,9,11},1)))*3+SUMPRODUCT(--(MID(RIGHT("00000000000"&amp;D33,11),{2,4,6,8,10},1))),10),10)=E33)</f>
        <v/>
      </c>
      <c r="G33" s="17"/>
      <c r="H33" s="42"/>
      <c r="I33" s="42"/>
      <c r="J33" s="12"/>
      <c r="K33" s="12"/>
      <c r="L33" s="12"/>
      <c r="M33" s="12"/>
      <c r="N33" s="12"/>
      <c r="O33" s="12"/>
      <c r="P33" s="12"/>
      <c r="Q33" s="12"/>
    </row>
    <row r="34" spans="1:17" s="2" customFormat="1" ht="15.6" x14ac:dyDescent="0.3">
      <c r="A34" s="16"/>
      <c r="B34" s="45"/>
      <c r="C34" s="45"/>
      <c r="D34" s="49"/>
      <c r="E34" s="15"/>
      <c r="F34" s="16" t="str">
        <f>IF(E34="","",MOD(10-MOD(SUMPRODUCT(--(MID(RIGHT("00000000000"&amp;D34,11),{1,3,5,7,9,11},1)))*3+SUMPRODUCT(--(MID(RIGHT("00000000000"&amp;D34,11),{2,4,6,8,10},1))),10),10)=E34)</f>
        <v/>
      </c>
      <c r="G34" s="17"/>
      <c r="H34" s="42"/>
      <c r="I34" s="42"/>
      <c r="J34" s="12"/>
      <c r="K34" s="12"/>
      <c r="L34" s="12"/>
      <c r="M34" s="12"/>
      <c r="N34" s="12"/>
      <c r="O34" s="12"/>
      <c r="P34" s="12"/>
      <c r="Q34" s="12"/>
    </row>
    <row r="35" spans="1:17" s="2" customFormat="1" ht="15.6" x14ac:dyDescent="0.3">
      <c r="A35" s="16"/>
      <c r="B35" s="45"/>
      <c r="C35" s="45"/>
      <c r="D35" s="49"/>
      <c r="E35" s="15"/>
      <c r="F35" s="16" t="str">
        <f>IF(E35="","",MOD(10-MOD(SUMPRODUCT(--(MID(RIGHT("00000000000"&amp;D35,11),{1,3,5,7,9,11},1)))*3+SUMPRODUCT(--(MID(RIGHT("00000000000"&amp;D35,11),{2,4,6,8,10},1))),10),10)=E35)</f>
        <v/>
      </c>
      <c r="G35" s="17"/>
      <c r="H35" s="42"/>
      <c r="I35" s="42"/>
      <c r="J35" s="12"/>
      <c r="K35" s="12"/>
      <c r="L35" s="12"/>
      <c r="M35" s="12"/>
      <c r="N35" s="12"/>
      <c r="O35" s="12"/>
      <c r="P35" s="12"/>
      <c r="Q35" s="12"/>
    </row>
    <row r="36" spans="1:17" s="2" customFormat="1" ht="15.6" x14ac:dyDescent="0.3">
      <c r="A36" s="16"/>
      <c r="B36" s="45"/>
      <c r="C36" s="45"/>
      <c r="D36" s="49"/>
      <c r="E36" s="15"/>
      <c r="F36" s="16" t="str">
        <f>IF(E36="","",MOD(10-MOD(SUMPRODUCT(--(MID(RIGHT("00000000000"&amp;D36,11),{1,3,5,7,9,11},1)))*3+SUMPRODUCT(--(MID(RIGHT("00000000000"&amp;D36,11),{2,4,6,8,10},1))),10),10)=E36)</f>
        <v/>
      </c>
      <c r="G36" s="17"/>
      <c r="H36" s="42"/>
      <c r="I36" s="42"/>
      <c r="J36" s="12"/>
      <c r="K36" s="12"/>
      <c r="L36" s="12"/>
      <c r="M36" s="12"/>
      <c r="N36" s="12"/>
      <c r="O36" s="12"/>
      <c r="P36" s="12"/>
      <c r="Q36" s="12"/>
    </row>
    <row r="37" spans="1:17" s="2" customFormat="1" ht="15.6" x14ac:dyDescent="0.3">
      <c r="A37" s="16"/>
      <c r="B37" s="45"/>
      <c r="C37" s="45"/>
      <c r="D37" s="49"/>
      <c r="E37" s="15"/>
      <c r="F37" s="16" t="str">
        <f>IF(E37="","",MOD(10-MOD(SUMPRODUCT(--(MID(RIGHT("00000000000"&amp;D37,11),{1,3,5,7,9,11},1)))*3+SUMPRODUCT(--(MID(RIGHT("00000000000"&amp;D37,11),{2,4,6,8,10},1))),10),10)=E37)</f>
        <v/>
      </c>
      <c r="G37" s="17"/>
      <c r="H37" s="42"/>
      <c r="I37" s="42"/>
      <c r="J37" s="12"/>
      <c r="K37" s="12"/>
      <c r="L37" s="12"/>
      <c r="M37" s="12"/>
      <c r="N37" s="12"/>
      <c r="O37" s="12"/>
      <c r="P37" s="12"/>
      <c r="Q37" s="12"/>
    </row>
    <row r="38" spans="1:17" s="2" customFormat="1" ht="15.6" x14ac:dyDescent="0.3">
      <c r="A38" s="16"/>
      <c r="B38" s="45"/>
      <c r="C38" s="45"/>
      <c r="D38" s="49"/>
      <c r="E38" s="15"/>
      <c r="F38" s="16" t="str">
        <f>IF(E38="","",MOD(10-MOD(SUMPRODUCT(--(MID(RIGHT("00000000000"&amp;D38,11),{1,3,5,7,9,11},1)))*3+SUMPRODUCT(--(MID(RIGHT("00000000000"&amp;D38,11),{2,4,6,8,10},1))),10),10)=E38)</f>
        <v/>
      </c>
      <c r="G38" s="17"/>
      <c r="H38" s="42"/>
      <c r="I38" s="42"/>
      <c r="J38" s="12"/>
      <c r="K38" s="12"/>
      <c r="L38" s="12"/>
      <c r="M38" s="12"/>
      <c r="N38" s="12"/>
      <c r="O38" s="12"/>
      <c r="P38" s="12"/>
      <c r="Q38" s="12"/>
    </row>
    <row r="39" spans="1:17" s="2" customFormat="1" ht="15.6" x14ac:dyDescent="0.3">
      <c r="A39" s="16"/>
      <c r="B39" s="45"/>
      <c r="C39" s="45"/>
      <c r="D39" s="49"/>
      <c r="E39" s="15"/>
      <c r="F39" s="16" t="str">
        <f>IF(E39="","",MOD(10-MOD(SUMPRODUCT(--(MID(RIGHT("00000000000"&amp;D39,11),{1,3,5,7,9,11},1)))*3+SUMPRODUCT(--(MID(RIGHT("00000000000"&amp;D39,11),{2,4,6,8,10},1))),10),10)=E39)</f>
        <v/>
      </c>
      <c r="G39" s="17"/>
      <c r="H39" s="42"/>
      <c r="I39" s="42"/>
      <c r="J39" s="12"/>
      <c r="K39" s="12"/>
      <c r="L39" s="12"/>
      <c r="M39" s="12"/>
      <c r="N39" s="12"/>
      <c r="O39" s="12"/>
      <c r="P39" s="12"/>
      <c r="Q39" s="12"/>
    </row>
    <row r="40" spans="1:17" s="2" customFormat="1" ht="15.6" x14ac:dyDescent="0.3">
      <c r="A40" s="16"/>
      <c r="B40" s="45"/>
      <c r="C40" s="45"/>
      <c r="D40" s="49"/>
      <c r="E40" s="15"/>
      <c r="F40" s="16" t="str">
        <f>IF(E40="","",MOD(10-MOD(SUMPRODUCT(--(MID(RIGHT("00000000000"&amp;D40,11),{1,3,5,7,9,11},1)))*3+SUMPRODUCT(--(MID(RIGHT("00000000000"&amp;D40,11),{2,4,6,8,10},1))),10),10)=E40)</f>
        <v/>
      </c>
      <c r="G40" s="17"/>
      <c r="H40" s="42"/>
      <c r="I40" s="42"/>
      <c r="J40" s="12"/>
      <c r="K40" s="12"/>
      <c r="L40" s="12"/>
      <c r="M40" s="12"/>
      <c r="N40" s="12"/>
      <c r="O40" s="12"/>
      <c r="P40" s="12"/>
      <c r="Q40" s="12"/>
    </row>
    <row r="41" spans="1:17" s="2" customFormat="1" ht="15.6" x14ac:dyDescent="0.3">
      <c r="A41" s="16"/>
      <c r="B41" s="45"/>
      <c r="C41" s="45"/>
      <c r="D41" s="49"/>
      <c r="E41" s="15"/>
      <c r="F41" s="16" t="str">
        <f>IF(E41="","",MOD(10-MOD(SUMPRODUCT(--(MID(RIGHT("00000000000"&amp;D41,11),{1,3,5,7,9,11},1)))*3+SUMPRODUCT(--(MID(RIGHT("00000000000"&amp;D41,11),{2,4,6,8,10},1))),10),10)=E41)</f>
        <v/>
      </c>
      <c r="G41" s="17"/>
      <c r="H41" s="42"/>
      <c r="I41" s="42"/>
      <c r="J41" s="12"/>
      <c r="K41" s="12"/>
      <c r="L41" s="12"/>
      <c r="M41" s="12"/>
      <c r="N41" s="12"/>
      <c r="O41" s="12"/>
      <c r="P41" s="12"/>
      <c r="Q41" s="12"/>
    </row>
    <row r="42" spans="1:17" s="2" customFormat="1" ht="15.6" x14ac:dyDescent="0.3">
      <c r="A42" s="16"/>
      <c r="B42" s="45"/>
      <c r="C42" s="45"/>
      <c r="D42" s="49"/>
      <c r="E42" s="15"/>
      <c r="F42" s="16" t="str">
        <f>IF(E42="","",MOD(10-MOD(SUMPRODUCT(--(MID(RIGHT("00000000000"&amp;D42,11),{1,3,5,7,9,11},1)))*3+SUMPRODUCT(--(MID(RIGHT("00000000000"&amp;D42,11),{2,4,6,8,10},1))),10),10)=E42)</f>
        <v/>
      </c>
      <c r="G42" s="17"/>
      <c r="H42" s="42"/>
      <c r="I42" s="42"/>
      <c r="J42" s="12"/>
      <c r="K42" s="12"/>
      <c r="L42" s="12"/>
      <c r="M42" s="12"/>
      <c r="N42" s="12"/>
      <c r="O42" s="12"/>
      <c r="P42" s="12"/>
      <c r="Q42" s="12"/>
    </row>
    <row r="43" spans="1:17" s="2" customFormat="1" ht="15.6" x14ac:dyDescent="0.3">
      <c r="A43" s="16"/>
      <c r="B43" s="45"/>
      <c r="C43" s="45"/>
      <c r="D43" s="49"/>
      <c r="E43" s="15"/>
      <c r="F43" s="16" t="str">
        <f>IF(E43="","",MOD(10-MOD(SUMPRODUCT(--(MID(RIGHT("00000000000"&amp;D43,11),{1,3,5,7,9,11},1)))*3+SUMPRODUCT(--(MID(RIGHT("00000000000"&amp;D43,11),{2,4,6,8,10},1))),10),10)=E43)</f>
        <v/>
      </c>
      <c r="G43" s="17"/>
      <c r="H43" s="42"/>
      <c r="I43" s="42"/>
      <c r="J43" s="12"/>
      <c r="K43" s="12"/>
      <c r="L43" s="12"/>
      <c r="M43" s="12"/>
      <c r="N43" s="12"/>
      <c r="O43" s="12"/>
      <c r="P43" s="12"/>
      <c r="Q43" s="12"/>
    </row>
    <row r="44" spans="1:17" s="2" customFormat="1" ht="15.6" x14ac:dyDescent="0.3">
      <c r="A44" s="16"/>
      <c r="B44" s="45"/>
      <c r="C44" s="45"/>
      <c r="D44" s="49"/>
      <c r="E44" s="15"/>
      <c r="F44" s="16" t="str">
        <f>IF(E44="","",MOD(10-MOD(SUMPRODUCT(--(MID(RIGHT("00000000000"&amp;D44,11),{1,3,5,7,9,11},1)))*3+SUMPRODUCT(--(MID(RIGHT("00000000000"&amp;D44,11),{2,4,6,8,10},1))),10),10)=E44)</f>
        <v/>
      </c>
      <c r="G44" s="17"/>
      <c r="H44" s="42"/>
      <c r="I44" s="42"/>
      <c r="J44" s="12"/>
      <c r="K44" s="12"/>
      <c r="L44" s="12"/>
      <c r="M44" s="12"/>
      <c r="N44" s="12"/>
      <c r="O44" s="12"/>
      <c r="P44" s="12"/>
      <c r="Q44" s="12"/>
    </row>
    <row r="45" spans="1:17" s="2" customFormat="1" ht="15.6" x14ac:dyDescent="0.3">
      <c r="A45" s="16"/>
      <c r="B45" s="45"/>
      <c r="C45" s="45"/>
      <c r="D45" s="49"/>
      <c r="E45" s="15"/>
      <c r="F45" s="16" t="str">
        <f>IF(E45="","",MOD(10-MOD(SUMPRODUCT(--(MID(RIGHT("00000000000"&amp;D45,11),{1,3,5,7,9,11},1)))*3+SUMPRODUCT(--(MID(RIGHT("00000000000"&amp;D45,11),{2,4,6,8,10},1))),10),10)=E45)</f>
        <v/>
      </c>
      <c r="G45" s="17"/>
      <c r="H45" s="42"/>
      <c r="I45" s="42"/>
      <c r="J45" s="12"/>
      <c r="K45" s="12"/>
      <c r="L45" s="12"/>
      <c r="M45" s="12"/>
      <c r="N45" s="12"/>
      <c r="O45" s="12"/>
      <c r="P45" s="12"/>
      <c r="Q45" s="12"/>
    </row>
    <row r="46" spans="1:17" s="2" customFormat="1" ht="15.6" x14ac:dyDescent="0.3">
      <c r="A46" s="16"/>
      <c r="B46" s="45"/>
      <c r="C46" s="45"/>
      <c r="D46" s="49"/>
      <c r="E46" s="15"/>
      <c r="F46" s="16" t="str">
        <f>IF(E46="","",MOD(10-MOD(SUMPRODUCT(--(MID(RIGHT("00000000000"&amp;D46,11),{1,3,5,7,9,11},1)))*3+SUMPRODUCT(--(MID(RIGHT("00000000000"&amp;D46,11),{2,4,6,8,10},1))),10),10)=E46)</f>
        <v/>
      </c>
      <c r="G46" s="17"/>
      <c r="H46" s="42"/>
      <c r="I46" s="42"/>
      <c r="J46" s="12"/>
      <c r="K46" s="12"/>
      <c r="L46" s="12"/>
      <c r="M46" s="12"/>
      <c r="N46" s="12"/>
      <c r="O46" s="12"/>
      <c r="P46" s="12"/>
      <c r="Q46" s="12"/>
    </row>
    <row r="47" spans="1:17" s="2" customFormat="1" ht="15.6" x14ac:dyDescent="0.3">
      <c r="A47" s="16"/>
      <c r="B47" s="45"/>
      <c r="C47" s="45"/>
      <c r="D47" s="49"/>
      <c r="E47" s="15"/>
      <c r="F47" s="16" t="str">
        <f>IF(E47="","",MOD(10-MOD(SUMPRODUCT(--(MID(RIGHT("00000000000"&amp;D47,11),{1,3,5,7,9,11},1)))*3+SUMPRODUCT(--(MID(RIGHT("00000000000"&amp;D47,11),{2,4,6,8,10},1))),10),10)=E47)</f>
        <v/>
      </c>
      <c r="G47" s="17"/>
      <c r="H47" s="42"/>
      <c r="I47" s="42"/>
      <c r="J47" s="12"/>
      <c r="K47" s="12"/>
      <c r="L47" s="12"/>
      <c r="M47" s="12"/>
      <c r="N47" s="12"/>
      <c r="O47" s="12"/>
      <c r="P47" s="12"/>
      <c r="Q47" s="12"/>
    </row>
    <row r="48" spans="1:17" s="2" customFormat="1" ht="15.6" x14ac:dyDescent="0.3">
      <c r="A48" s="16"/>
      <c r="B48" s="45"/>
      <c r="C48" s="45"/>
      <c r="D48" s="49"/>
      <c r="E48" s="15"/>
      <c r="F48" s="16" t="str">
        <f>IF(E48="","",MOD(10-MOD(SUMPRODUCT(--(MID(RIGHT("00000000000"&amp;D48,11),{1,3,5,7,9,11},1)))*3+SUMPRODUCT(--(MID(RIGHT("00000000000"&amp;D48,11),{2,4,6,8,10},1))),10),10)=E48)</f>
        <v/>
      </c>
      <c r="G48" s="17"/>
      <c r="H48" s="42"/>
      <c r="I48" s="42"/>
      <c r="J48" s="12"/>
      <c r="K48" s="12"/>
      <c r="L48" s="12"/>
      <c r="M48" s="12"/>
      <c r="N48" s="12"/>
      <c r="O48" s="12"/>
      <c r="P48" s="12"/>
      <c r="Q48" s="12"/>
    </row>
    <row r="49" spans="1:17" s="2" customFormat="1" ht="15.6" x14ac:dyDescent="0.3">
      <c r="A49" s="16"/>
      <c r="B49" s="45"/>
      <c r="C49" s="45"/>
      <c r="D49" s="49"/>
      <c r="E49" s="15"/>
      <c r="F49" s="16" t="str">
        <f>IF(E49="","",MOD(10-MOD(SUMPRODUCT(--(MID(RIGHT("00000000000"&amp;D49,11),{1,3,5,7,9,11},1)))*3+SUMPRODUCT(--(MID(RIGHT("00000000000"&amp;D49,11),{2,4,6,8,10},1))),10),10)=E49)</f>
        <v/>
      </c>
      <c r="G49" s="17"/>
      <c r="H49" s="42"/>
      <c r="I49" s="42"/>
      <c r="J49" s="12"/>
      <c r="K49" s="12"/>
      <c r="L49" s="12"/>
      <c r="M49" s="12"/>
      <c r="N49" s="12"/>
      <c r="O49" s="12"/>
      <c r="P49" s="12"/>
      <c r="Q49" s="12"/>
    </row>
    <row r="50" spans="1:17" s="2" customFormat="1" ht="15.6" x14ac:dyDescent="0.3">
      <c r="A50" s="16"/>
      <c r="B50" s="45"/>
      <c r="C50" s="45"/>
      <c r="D50" s="49"/>
      <c r="E50" s="15"/>
      <c r="F50" s="16" t="str">
        <f>IF(E50="","",MOD(10-MOD(SUMPRODUCT(--(MID(RIGHT("00000000000"&amp;D50,11),{1,3,5,7,9,11},1)))*3+SUMPRODUCT(--(MID(RIGHT("00000000000"&amp;D50,11),{2,4,6,8,10},1))),10),10)=E50)</f>
        <v/>
      </c>
      <c r="G50" s="17"/>
      <c r="H50" s="42"/>
      <c r="I50" s="42"/>
      <c r="J50" s="12"/>
      <c r="K50" s="12"/>
      <c r="L50" s="12"/>
      <c r="M50" s="12"/>
      <c r="N50" s="12"/>
      <c r="O50" s="12"/>
      <c r="P50" s="12"/>
      <c r="Q50" s="12"/>
    </row>
  </sheetData>
  <dataConsolidate/>
  <mergeCells count="1">
    <mergeCell ref="M6:M7"/>
  </mergeCells>
  <conditionalFormatting sqref="D9">
    <cfRule type="duplicateValues" dxfId="1" priority="1"/>
  </conditionalFormatting>
  <conditionalFormatting sqref="F9:F50">
    <cfRule type="containsText" dxfId="0" priority="15" operator="containsText" text="FALSE">
      <formula>NOT(ISERROR(SEARCH("FALSE",F9)))</formula>
    </cfRule>
  </conditionalFormatting>
  <dataValidations count="6">
    <dataValidation type="custom" allowBlank="1" showInputMessage="1" showErrorMessage="1" errorTitle="UPC Formatting Errol" error="Please re-enter the UPC using no more than 13 numeric digits.  No spaces, dashes or single quote marks are allowed in this field." promptTitle="Enter Check Digit" prompt="1 Numeric Digit_x000a__x000a_No spaces, dashes or single quote marks are allowed in this field." sqref="E9:E50" xr:uid="{00000000-0002-0000-0200-000000000000}">
      <formula1>AND(LEN(E9)=1,E9&lt;10)</formula1>
    </dataValidation>
    <dataValidation type="custom" allowBlank="1" showInputMessage="1" showErrorMessage="1" errorTitle="UPC Formatting Errol" error="Please re-enter the UPC using no more than 13 numeric digits.  No spaces, dashes or single quote marks are allowed in this field." promptTitle="Enter UPC" prompt="  - Enter leading digit_x000a_  - No check digit _x000a_  - No more than 13 numeric digits_x000a__x000a_No spaces, dashes or single quote marks are allowed in this field." sqref="D9:D50" xr:uid="{00000000-0002-0000-0200-000001000000}">
      <formula1>AND(LEN(D9)&lt;14,D9&gt;0,D9&lt;9999999999999)</formula1>
    </dataValidation>
    <dataValidation type="list" allowBlank="1" showInputMessage="1" showErrorMessage="1" promptTitle="Select Reason From Drop Down" prompt="Why was this item discontinued?" sqref="M9:M11" xr:uid="{00000000-0002-0000-0200-000002000000}">
      <formula1>N2:N6</formula1>
    </dataValidation>
    <dataValidation type="list" allowBlank="1" showInputMessage="1" showErrorMessage="1" promptTitle="Select Reason From Drop Down" prompt="Why was this item discontinued?" sqref="M17:M50" xr:uid="{00000000-0002-0000-0200-000003000000}">
      <formula1>N9:N13</formula1>
    </dataValidation>
    <dataValidation type="list" allowBlank="1" showInputMessage="1" showErrorMessage="1" promptTitle="Select Reason From Drop Down" prompt="Why was this item discontinued?" sqref="M12:M16" xr:uid="{00000000-0002-0000-0200-000004000000}">
      <formula1>N5:N8</formula1>
    </dataValidation>
    <dataValidation type="list" allowBlank="1" showInputMessage="1" showErrorMessage="1" promptTitle="Select Family" prompt="From the drop down list." sqref="B10:B50" xr:uid="{00000000-0002-0000-0200-000005000000}">
      <formula1>#REF!</formula1>
    </dataValidation>
  </dataValidations>
  <hyperlinks>
    <hyperlink ref="P9" r:id="rId1" xr:uid="{00000000-0004-0000-0200-000000000000}"/>
  </hyperlinks>
  <pageMargins left="0.2" right="0.21" top="0.28999999999999998" bottom="0.49" header="0.17" footer="0.3"/>
  <pageSetup scale="5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14"/>
  <sheetViews>
    <sheetView zoomScale="85" zoomScaleNormal="85"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N14" sqref="N14"/>
    </sheetView>
  </sheetViews>
  <sheetFormatPr defaultColWidth="43" defaultRowHeight="13.8" x14ac:dyDescent="0.3"/>
  <cols>
    <col min="1" max="1" width="17.21875" style="106" customWidth="1"/>
    <col min="2" max="2" width="21.77734375" style="121" customWidth="1"/>
    <col min="3" max="3" width="35.44140625" style="110" customWidth="1"/>
    <col min="4" max="4" width="28.77734375" style="110" customWidth="1"/>
    <col min="5" max="5" width="64.44140625" style="89" customWidth="1"/>
    <col min="6" max="6" width="10" style="110" customWidth="1"/>
    <col min="7" max="7" width="7.21875" style="123" customWidth="1"/>
    <col min="8" max="8" width="10" style="110" customWidth="1"/>
    <col min="9" max="9" width="24.77734375" style="110" customWidth="1"/>
    <col min="10" max="10" width="16" style="110" customWidth="1"/>
    <col min="11" max="11" width="19" style="110" customWidth="1"/>
    <col min="12" max="12" width="14.77734375" style="110" customWidth="1"/>
    <col min="13" max="13" width="6.77734375" style="125" customWidth="1"/>
    <col min="14" max="14" width="21.5546875" style="121" customWidth="1"/>
    <col min="15" max="15" width="26.44140625" style="110" customWidth="1"/>
    <col min="16" max="16" width="21.77734375" style="110" customWidth="1"/>
    <col min="17" max="17" width="65.21875" style="89" customWidth="1"/>
    <col min="18" max="18" width="10" style="110" customWidth="1"/>
    <col min="19" max="19" width="7.77734375" style="123" customWidth="1"/>
    <col min="20" max="20" width="14.77734375" style="110" customWidth="1"/>
    <col min="21" max="21" width="17.77734375" style="110" customWidth="1"/>
    <col min="22" max="22" width="15.44140625" style="110" customWidth="1"/>
    <col min="23" max="23" width="12.77734375" style="110" customWidth="1"/>
    <col min="24" max="24" width="14.77734375" style="110" customWidth="1"/>
    <col min="25" max="25" width="26.5546875" style="110" customWidth="1"/>
    <col min="26" max="16384" width="43" style="89"/>
  </cols>
  <sheetData>
    <row r="1" spans="1:25" x14ac:dyDescent="0.3">
      <c r="A1" s="87"/>
      <c r="B1" s="188" t="s">
        <v>114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88"/>
      <c r="N1" s="190" t="s">
        <v>115</v>
      </c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2"/>
    </row>
    <row r="2" spans="1:25" x14ac:dyDescent="0.3">
      <c r="A2" s="90" t="s">
        <v>116</v>
      </c>
      <c r="B2" s="129" t="s">
        <v>117</v>
      </c>
      <c r="C2" s="91" t="s">
        <v>118</v>
      </c>
      <c r="D2" s="91" t="s">
        <v>119</v>
      </c>
      <c r="E2" s="92" t="s">
        <v>120</v>
      </c>
      <c r="F2" s="92" t="s">
        <v>121</v>
      </c>
      <c r="G2" s="92" t="s">
        <v>100</v>
      </c>
      <c r="H2" s="92" t="s">
        <v>122</v>
      </c>
      <c r="I2" s="91" t="s">
        <v>123</v>
      </c>
      <c r="J2" s="93" t="s">
        <v>124</v>
      </c>
      <c r="K2" s="91" t="s">
        <v>125</v>
      </c>
      <c r="L2" s="91" t="s">
        <v>126</v>
      </c>
      <c r="M2" s="94"/>
      <c r="N2" s="129" t="s">
        <v>117</v>
      </c>
      <c r="O2" s="91" t="s">
        <v>118</v>
      </c>
      <c r="P2" s="91" t="s">
        <v>119</v>
      </c>
      <c r="Q2" s="91" t="s">
        <v>120</v>
      </c>
      <c r="R2" s="95" t="s">
        <v>121</v>
      </c>
      <c r="S2" s="96" t="s">
        <v>100</v>
      </c>
      <c r="T2" s="95" t="s">
        <v>122</v>
      </c>
      <c r="U2" s="92" t="s">
        <v>123</v>
      </c>
      <c r="V2" s="92" t="s">
        <v>124</v>
      </c>
      <c r="W2" s="92" t="s">
        <v>125</v>
      </c>
      <c r="X2" s="92" t="s">
        <v>126</v>
      </c>
      <c r="Y2" s="92" t="s">
        <v>127</v>
      </c>
    </row>
    <row r="3" spans="1:25" x14ac:dyDescent="0.3">
      <c r="A3" s="90"/>
      <c r="B3" s="129" t="s">
        <v>128</v>
      </c>
      <c r="C3" s="91"/>
      <c r="D3" s="91"/>
      <c r="E3" s="92"/>
      <c r="F3" s="92"/>
      <c r="G3" s="92"/>
      <c r="H3" s="92"/>
      <c r="I3" s="91"/>
      <c r="J3" s="93"/>
      <c r="K3" s="91"/>
      <c r="L3" s="91"/>
      <c r="M3" s="94"/>
      <c r="N3" s="129" t="s">
        <v>129</v>
      </c>
      <c r="O3" s="91"/>
      <c r="P3" s="91"/>
      <c r="Q3" s="91"/>
      <c r="R3" s="95"/>
      <c r="S3" s="96"/>
      <c r="T3" s="95"/>
      <c r="U3" s="92"/>
      <c r="V3" s="92"/>
      <c r="W3" s="92"/>
      <c r="X3" s="92"/>
      <c r="Y3" s="92"/>
    </row>
    <row r="4" spans="1:25" s="105" customFormat="1" ht="29.25" customHeight="1" x14ac:dyDescent="0.3">
      <c r="A4" s="97">
        <v>43831</v>
      </c>
      <c r="B4" s="126" t="s">
        <v>135</v>
      </c>
      <c r="C4" s="98" t="s">
        <v>130</v>
      </c>
      <c r="D4" s="98" t="s">
        <v>131</v>
      </c>
      <c r="E4" s="99" t="s">
        <v>132</v>
      </c>
      <c r="F4" s="99">
        <v>15</v>
      </c>
      <c r="G4" s="99" t="s">
        <v>18</v>
      </c>
      <c r="H4" s="99">
        <v>12</v>
      </c>
      <c r="I4" s="98" t="s">
        <v>108</v>
      </c>
      <c r="J4" s="100">
        <v>11.96</v>
      </c>
      <c r="K4" s="98">
        <v>12345</v>
      </c>
      <c r="L4" s="98" t="s">
        <v>133</v>
      </c>
      <c r="M4" s="101" t="str">
        <f t="shared" ref="M4:M67" si="0">"----&gt;"</f>
        <v>----&gt;</v>
      </c>
      <c r="N4" s="126" t="s">
        <v>138</v>
      </c>
      <c r="O4" s="98" t="s">
        <v>130</v>
      </c>
      <c r="P4" s="98" t="s">
        <v>131</v>
      </c>
      <c r="Q4" s="98" t="s">
        <v>132</v>
      </c>
      <c r="R4" s="102">
        <v>15</v>
      </c>
      <c r="S4" s="103" t="s">
        <v>18</v>
      </c>
      <c r="T4" s="102">
        <v>12</v>
      </c>
      <c r="U4" s="99" t="s">
        <v>108</v>
      </c>
      <c r="V4" s="99">
        <v>11.96</v>
      </c>
      <c r="W4" s="99">
        <v>12345</v>
      </c>
      <c r="X4" s="99" t="s">
        <v>133</v>
      </c>
      <c r="Y4" s="104">
        <v>43952</v>
      </c>
    </row>
    <row r="5" spans="1:25" ht="14.4" x14ac:dyDescent="0.3">
      <c r="B5" s="131"/>
      <c r="C5" s="107"/>
      <c r="D5" s="107"/>
      <c r="E5" s="108"/>
      <c r="F5" s="109"/>
      <c r="G5" s="109"/>
      <c r="H5" s="107"/>
      <c r="M5" s="101" t="str">
        <f t="shared" si="0"/>
        <v>----&gt;</v>
      </c>
      <c r="N5" s="130"/>
      <c r="O5" s="111"/>
      <c r="P5" s="127"/>
      <c r="Q5" s="127"/>
      <c r="R5" s="128"/>
      <c r="S5" s="128"/>
      <c r="T5" s="86"/>
      <c r="Y5" s="106"/>
    </row>
    <row r="6" spans="1:25" x14ac:dyDescent="0.3">
      <c r="B6" s="131"/>
      <c r="C6" s="107"/>
      <c r="D6" s="107"/>
      <c r="E6" s="108"/>
      <c r="F6" s="109"/>
      <c r="G6" s="109"/>
      <c r="H6" s="107"/>
      <c r="M6" s="101" t="str">
        <f t="shared" si="0"/>
        <v>----&gt;</v>
      </c>
      <c r="N6" s="130"/>
      <c r="O6" s="111"/>
      <c r="P6" s="112"/>
      <c r="Q6" s="113"/>
      <c r="R6" s="114"/>
      <c r="S6" s="112"/>
      <c r="T6" s="115"/>
      <c r="Y6" s="106"/>
    </row>
    <row r="7" spans="1:25" x14ac:dyDescent="0.3">
      <c r="B7" s="131"/>
      <c r="C7" s="107"/>
      <c r="D7" s="107"/>
      <c r="E7" s="108"/>
      <c r="F7" s="109"/>
      <c r="G7" s="109"/>
      <c r="H7" s="107"/>
      <c r="M7" s="101" t="str">
        <f t="shared" si="0"/>
        <v>----&gt;</v>
      </c>
      <c r="N7" s="130"/>
      <c r="O7" s="111"/>
      <c r="P7" s="112"/>
      <c r="Q7" s="113"/>
      <c r="R7" s="114"/>
      <c r="S7" s="112"/>
      <c r="T7" s="115"/>
      <c r="Y7" s="106"/>
    </row>
    <row r="8" spans="1:25" x14ac:dyDescent="0.3">
      <c r="B8" s="131"/>
      <c r="C8" s="107"/>
      <c r="D8" s="107"/>
      <c r="E8" s="108"/>
      <c r="F8" s="109"/>
      <c r="G8" s="109"/>
      <c r="H8" s="107"/>
      <c r="M8" s="101" t="str">
        <f t="shared" si="0"/>
        <v>----&gt;</v>
      </c>
      <c r="N8" s="130"/>
      <c r="O8" s="111"/>
      <c r="P8" s="112"/>
      <c r="Q8" s="113"/>
      <c r="R8" s="114"/>
      <c r="S8" s="112"/>
      <c r="T8" s="115"/>
      <c r="Y8" s="106"/>
    </row>
    <row r="9" spans="1:25" x14ac:dyDescent="0.3">
      <c r="B9" s="131"/>
      <c r="C9" s="107"/>
      <c r="D9" s="107"/>
      <c r="E9" s="108"/>
      <c r="F9" s="109"/>
      <c r="G9" s="109"/>
      <c r="H9" s="107"/>
      <c r="M9" s="101" t="str">
        <f t="shared" si="0"/>
        <v>----&gt;</v>
      </c>
      <c r="N9" s="130"/>
      <c r="O9" s="111"/>
      <c r="P9" s="112"/>
      <c r="Q9" s="113"/>
      <c r="R9" s="114"/>
      <c r="S9" s="112"/>
      <c r="T9" s="115"/>
      <c r="Y9" s="106"/>
    </row>
    <row r="10" spans="1:25" x14ac:dyDescent="0.3">
      <c r="B10" s="131"/>
      <c r="C10" s="107"/>
      <c r="D10" s="107"/>
      <c r="E10" s="108"/>
      <c r="F10" s="109"/>
      <c r="G10" s="109"/>
      <c r="H10" s="107"/>
      <c r="M10" s="101" t="str">
        <f t="shared" si="0"/>
        <v>----&gt;</v>
      </c>
      <c r="N10" s="130"/>
      <c r="O10" s="111"/>
      <c r="P10" s="112"/>
      <c r="Q10" s="113"/>
      <c r="R10" s="114"/>
      <c r="S10" s="112"/>
      <c r="T10" s="115"/>
      <c r="Y10" s="106"/>
    </row>
    <row r="11" spans="1:25" x14ac:dyDescent="0.3">
      <c r="B11" s="131"/>
      <c r="C11" s="107"/>
      <c r="D11" s="107"/>
      <c r="E11" s="108"/>
      <c r="F11" s="109"/>
      <c r="G11" s="109"/>
      <c r="H11" s="107"/>
      <c r="M11" s="101" t="str">
        <f t="shared" si="0"/>
        <v>----&gt;</v>
      </c>
      <c r="N11" s="130"/>
      <c r="O11" s="111"/>
      <c r="P11" s="112"/>
      <c r="Q11" s="113"/>
      <c r="R11" s="114"/>
      <c r="S11" s="112"/>
      <c r="T11" s="115"/>
      <c r="Y11" s="106"/>
    </row>
    <row r="12" spans="1:25" x14ac:dyDescent="0.3">
      <c r="B12" s="131"/>
      <c r="C12" s="107"/>
      <c r="D12" s="107"/>
      <c r="E12" s="108"/>
      <c r="F12" s="109"/>
      <c r="G12" s="109"/>
      <c r="H12" s="107"/>
      <c r="M12" s="101" t="str">
        <f t="shared" si="0"/>
        <v>----&gt;</v>
      </c>
      <c r="N12" s="130"/>
      <c r="O12" s="111"/>
      <c r="P12" s="112"/>
      <c r="Q12" s="113"/>
      <c r="R12" s="114"/>
      <c r="S12" s="112"/>
      <c r="T12" s="115"/>
      <c r="Y12" s="106"/>
    </row>
    <row r="13" spans="1:25" x14ac:dyDescent="0.3">
      <c r="B13" s="131"/>
      <c r="C13" s="107"/>
      <c r="D13" s="107"/>
      <c r="E13" s="108"/>
      <c r="F13" s="109"/>
      <c r="G13" s="109"/>
      <c r="H13" s="107"/>
      <c r="M13" s="101" t="str">
        <f t="shared" si="0"/>
        <v>----&gt;</v>
      </c>
      <c r="N13" s="130"/>
      <c r="O13" s="111"/>
      <c r="P13" s="112"/>
      <c r="Q13" s="113"/>
      <c r="R13" s="114"/>
      <c r="S13" s="112"/>
      <c r="T13" s="115"/>
      <c r="Y13" s="106"/>
    </row>
    <row r="14" spans="1:25" x14ac:dyDescent="0.3">
      <c r="B14" s="131"/>
      <c r="C14" s="107"/>
      <c r="D14" s="107"/>
      <c r="E14" s="108"/>
      <c r="F14" s="109"/>
      <c r="G14" s="109"/>
      <c r="H14" s="107"/>
      <c r="M14" s="101" t="str">
        <f t="shared" si="0"/>
        <v>----&gt;</v>
      </c>
      <c r="N14" s="130"/>
      <c r="O14" s="111"/>
      <c r="P14" s="112"/>
      <c r="Q14" s="113"/>
      <c r="R14" s="114"/>
      <c r="S14" s="112"/>
      <c r="T14" s="115"/>
      <c r="Y14" s="106"/>
    </row>
    <row r="15" spans="1:25" x14ac:dyDescent="0.3">
      <c r="B15" s="131"/>
      <c r="C15" s="107"/>
      <c r="D15" s="107"/>
      <c r="E15" s="108"/>
      <c r="F15" s="109"/>
      <c r="G15" s="109"/>
      <c r="H15" s="107"/>
      <c r="M15" s="101" t="str">
        <f t="shared" si="0"/>
        <v>----&gt;</v>
      </c>
      <c r="N15" s="130"/>
      <c r="O15" s="111"/>
      <c r="P15" s="112"/>
      <c r="Q15" s="113"/>
      <c r="R15" s="114"/>
      <c r="S15" s="112"/>
      <c r="T15" s="115"/>
      <c r="Y15" s="106"/>
    </row>
    <row r="16" spans="1:25" x14ac:dyDescent="0.3">
      <c r="B16" s="131"/>
      <c r="C16" s="107"/>
      <c r="D16" s="107"/>
      <c r="E16" s="108"/>
      <c r="F16" s="109"/>
      <c r="G16" s="109"/>
      <c r="H16" s="107"/>
      <c r="M16" s="101" t="str">
        <f t="shared" si="0"/>
        <v>----&gt;</v>
      </c>
      <c r="N16" s="130"/>
      <c r="O16" s="111"/>
      <c r="P16" s="112"/>
      <c r="Q16" s="113"/>
      <c r="R16" s="114"/>
      <c r="S16" s="112"/>
      <c r="T16" s="115"/>
      <c r="Y16" s="106"/>
    </row>
    <row r="17" spans="2:25" x14ac:dyDescent="0.3">
      <c r="B17" s="131"/>
      <c r="C17" s="107"/>
      <c r="D17" s="107"/>
      <c r="E17" s="108"/>
      <c r="F17" s="109"/>
      <c r="G17" s="109"/>
      <c r="H17" s="107"/>
      <c r="M17" s="101" t="str">
        <f t="shared" si="0"/>
        <v>----&gt;</v>
      </c>
      <c r="N17" s="130"/>
      <c r="O17" s="111"/>
      <c r="P17" s="112"/>
      <c r="Q17" s="113"/>
      <c r="R17" s="114"/>
      <c r="S17" s="112"/>
      <c r="T17" s="115"/>
      <c r="Y17" s="106"/>
    </row>
    <row r="18" spans="2:25" x14ac:dyDescent="0.3">
      <c r="B18" s="131"/>
      <c r="C18" s="107"/>
      <c r="D18" s="107"/>
      <c r="E18" s="108"/>
      <c r="F18" s="109"/>
      <c r="G18" s="109"/>
      <c r="H18" s="107"/>
      <c r="M18" s="101" t="str">
        <f t="shared" si="0"/>
        <v>----&gt;</v>
      </c>
      <c r="N18" s="130"/>
      <c r="O18" s="111"/>
      <c r="P18" s="112"/>
      <c r="Q18" s="113"/>
      <c r="R18" s="114"/>
      <c r="S18" s="112"/>
      <c r="T18" s="115"/>
      <c r="Y18" s="106"/>
    </row>
    <row r="19" spans="2:25" x14ac:dyDescent="0.3">
      <c r="B19" s="131"/>
      <c r="C19" s="107"/>
      <c r="D19" s="107"/>
      <c r="E19" s="108"/>
      <c r="F19" s="109"/>
      <c r="G19" s="109"/>
      <c r="H19" s="107"/>
      <c r="M19" s="101" t="str">
        <f t="shared" si="0"/>
        <v>----&gt;</v>
      </c>
      <c r="N19" s="130"/>
      <c r="O19" s="111"/>
      <c r="P19" s="112"/>
      <c r="Q19" s="113"/>
      <c r="R19" s="114"/>
      <c r="S19" s="112"/>
      <c r="T19" s="115"/>
      <c r="Y19" s="106"/>
    </row>
    <row r="20" spans="2:25" x14ac:dyDescent="0.3">
      <c r="B20" s="131"/>
      <c r="C20" s="107"/>
      <c r="D20" s="107"/>
      <c r="E20" s="108"/>
      <c r="F20" s="109"/>
      <c r="G20" s="109"/>
      <c r="H20" s="107"/>
      <c r="M20" s="101" t="str">
        <f t="shared" si="0"/>
        <v>----&gt;</v>
      </c>
      <c r="N20" s="130"/>
      <c r="O20" s="111"/>
      <c r="P20" s="112"/>
      <c r="Q20" s="113"/>
      <c r="R20" s="114"/>
      <c r="S20" s="112"/>
      <c r="T20" s="115"/>
      <c r="Y20" s="106"/>
    </row>
    <row r="21" spans="2:25" x14ac:dyDescent="0.3">
      <c r="B21" s="131"/>
      <c r="C21" s="107"/>
      <c r="D21" s="107"/>
      <c r="E21" s="108"/>
      <c r="F21" s="109"/>
      <c r="G21" s="109"/>
      <c r="H21" s="107"/>
      <c r="M21" s="101" t="str">
        <f t="shared" si="0"/>
        <v>----&gt;</v>
      </c>
      <c r="N21" s="130"/>
      <c r="O21" s="111"/>
      <c r="P21" s="112"/>
      <c r="Q21" s="113"/>
      <c r="R21" s="114"/>
      <c r="S21" s="112"/>
      <c r="T21" s="115"/>
      <c r="Y21" s="106"/>
    </row>
    <row r="22" spans="2:25" x14ac:dyDescent="0.3">
      <c r="B22" s="131"/>
      <c r="C22" s="107"/>
      <c r="D22" s="107"/>
      <c r="E22" s="108"/>
      <c r="F22" s="109"/>
      <c r="G22" s="109"/>
      <c r="H22" s="107"/>
      <c r="M22" s="101" t="str">
        <f t="shared" si="0"/>
        <v>----&gt;</v>
      </c>
      <c r="N22" s="130"/>
      <c r="O22" s="111"/>
      <c r="P22" s="112"/>
      <c r="Q22" s="113"/>
      <c r="R22" s="114"/>
      <c r="S22" s="112"/>
      <c r="T22" s="115"/>
      <c r="Y22" s="106"/>
    </row>
    <row r="23" spans="2:25" x14ac:dyDescent="0.3">
      <c r="B23" s="131"/>
      <c r="C23" s="107"/>
      <c r="D23" s="107"/>
      <c r="E23" s="108"/>
      <c r="F23" s="109"/>
      <c r="G23" s="109"/>
      <c r="H23" s="107"/>
      <c r="M23" s="101" t="str">
        <f t="shared" si="0"/>
        <v>----&gt;</v>
      </c>
      <c r="N23" s="130"/>
      <c r="O23" s="111"/>
      <c r="P23" s="112"/>
      <c r="Q23" s="113"/>
      <c r="R23" s="114"/>
      <c r="S23" s="112"/>
      <c r="T23" s="115"/>
      <c r="Y23" s="106"/>
    </row>
    <row r="24" spans="2:25" x14ac:dyDescent="0.3">
      <c r="B24" s="131"/>
      <c r="C24" s="107"/>
      <c r="D24" s="107"/>
      <c r="E24" s="108"/>
      <c r="F24" s="109"/>
      <c r="G24" s="109"/>
      <c r="H24" s="107"/>
      <c r="M24" s="101" t="str">
        <f t="shared" si="0"/>
        <v>----&gt;</v>
      </c>
      <c r="N24" s="130"/>
      <c r="O24" s="111"/>
      <c r="P24" s="112"/>
      <c r="Q24" s="113"/>
      <c r="R24" s="114"/>
      <c r="S24" s="112"/>
      <c r="T24" s="115"/>
      <c r="Y24" s="106"/>
    </row>
    <row r="25" spans="2:25" x14ac:dyDescent="0.3">
      <c r="B25" s="131"/>
      <c r="C25" s="107"/>
      <c r="D25" s="107"/>
      <c r="E25" s="108"/>
      <c r="F25" s="109"/>
      <c r="G25" s="109"/>
      <c r="H25" s="107"/>
      <c r="M25" s="101" t="str">
        <f t="shared" si="0"/>
        <v>----&gt;</v>
      </c>
      <c r="N25" s="130"/>
      <c r="O25" s="111"/>
      <c r="P25" s="112"/>
      <c r="Q25" s="113"/>
      <c r="R25" s="114"/>
      <c r="S25" s="112"/>
      <c r="T25" s="115"/>
      <c r="Y25" s="106"/>
    </row>
    <row r="26" spans="2:25" x14ac:dyDescent="0.3">
      <c r="B26" s="131"/>
      <c r="C26" s="107"/>
      <c r="D26" s="107"/>
      <c r="E26" s="108"/>
      <c r="F26" s="109"/>
      <c r="G26" s="109"/>
      <c r="H26" s="107"/>
      <c r="M26" s="101" t="str">
        <f t="shared" si="0"/>
        <v>----&gt;</v>
      </c>
      <c r="N26" s="130"/>
      <c r="O26" s="111"/>
      <c r="P26" s="112"/>
      <c r="Q26" s="113"/>
      <c r="R26" s="114"/>
      <c r="S26" s="112"/>
      <c r="T26" s="115"/>
      <c r="Y26" s="106"/>
    </row>
    <row r="27" spans="2:25" x14ac:dyDescent="0.3">
      <c r="B27" s="131"/>
      <c r="C27" s="107"/>
      <c r="D27" s="107"/>
      <c r="E27" s="108"/>
      <c r="F27" s="109"/>
      <c r="G27" s="109"/>
      <c r="H27" s="107"/>
      <c r="M27" s="101" t="str">
        <f t="shared" si="0"/>
        <v>----&gt;</v>
      </c>
      <c r="N27" s="130"/>
      <c r="O27" s="111"/>
      <c r="P27" s="112"/>
      <c r="Q27" s="113"/>
      <c r="R27" s="114"/>
      <c r="S27" s="112"/>
      <c r="T27" s="115"/>
      <c r="Y27" s="106"/>
    </row>
    <row r="28" spans="2:25" x14ac:dyDescent="0.3">
      <c r="B28" s="131"/>
      <c r="C28" s="107"/>
      <c r="D28" s="107"/>
      <c r="E28" s="108"/>
      <c r="F28" s="109"/>
      <c r="G28" s="109"/>
      <c r="H28" s="107"/>
      <c r="M28" s="101" t="str">
        <f t="shared" si="0"/>
        <v>----&gt;</v>
      </c>
      <c r="N28" s="130"/>
      <c r="O28" s="111"/>
      <c r="P28" s="112"/>
      <c r="Q28" s="113"/>
      <c r="R28" s="114"/>
      <c r="S28" s="112"/>
      <c r="T28" s="115"/>
      <c r="Y28" s="106"/>
    </row>
    <row r="29" spans="2:25" x14ac:dyDescent="0.3">
      <c r="B29" s="131"/>
      <c r="C29" s="107"/>
      <c r="D29" s="107"/>
      <c r="E29" s="108"/>
      <c r="F29" s="109"/>
      <c r="G29" s="109"/>
      <c r="H29" s="107"/>
      <c r="M29" s="101" t="str">
        <f t="shared" si="0"/>
        <v>----&gt;</v>
      </c>
      <c r="N29" s="130"/>
      <c r="O29" s="111"/>
      <c r="P29" s="112"/>
      <c r="Q29" s="113"/>
      <c r="R29" s="114"/>
      <c r="S29" s="112"/>
      <c r="T29" s="115"/>
      <c r="Y29" s="106"/>
    </row>
    <row r="30" spans="2:25" x14ac:dyDescent="0.3">
      <c r="B30" s="131"/>
      <c r="C30" s="107"/>
      <c r="D30" s="107"/>
      <c r="E30" s="108"/>
      <c r="F30" s="109"/>
      <c r="G30" s="109"/>
      <c r="H30" s="107"/>
      <c r="M30" s="101" t="str">
        <f t="shared" si="0"/>
        <v>----&gt;</v>
      </c>
      <c r="N30" s="130"/>
      <c r="O30" s="111"/>
      <c r="P30" s="112"/>
      <c r="Q30" s="113"/>
      <c r="R30" s="114"/>
      <c r="S30" s="112"/>
      <c r="T30" s="115"/>
      <c r="Y30" s="106"/>
    </row>
    <row r="31" spans="2:25" x14ac:dyDescent="0.3">
      <c r="B31" s="131"/>
      <c r="C31" s="107"/>
      <c r="D31" s="107"/>
      <c r="E31" s="108"/>
      <c r="F31" s="109"/>
      <c r="G31" s="109"/>
      <c r="H31" s="107"/>
      <c r="M31" s="101" t="str">
        <f t="shared" si="0"/>
        <v>----&gt;</v>
      </c>
      <c r="N31" s="130"/>
      <c r="O31" s="111"/>
      <c r="P31" s="112"/>
      <c r="Q31" s="113"/>
      <c r="R31" s="114"/>
      <c r="S31" s="112"/>
      <c r="T31" s="115"/>
      <c r="Y31" s="106"/>
    </row>
    <row r="32" spans="2:25" x14ac:dyDescent="0.3">
      <c r="B32" s="131"/>
      <c r="C32" s="107"/>
      <c r="D32" s="107"/>
      <c r="E32" s="108"/>
      <c r="F32" s="109"/>
      <c r="G32" s="109"/>
      <c r="H32" s="107"/>
      <c r="M32" s="101" t="str">
        <f t="shared" si="0"/>
        <v>----&gt;</v>
      </c>
      <c r="N32" s="130"/>
      <c r="O32" s="111"/>
      <c r="P32" s="112"/>
      <c r="Q32" s="113"/>
      <c r="R32" s="114"/>
      <c r="S32" s="112"/>
      <c r="T32" s="115"/>
      <c r="Y32" s="106"/>
    </row>
    <row r="33" spans="2:25" x14ac:dyDescent="0.3">
      <c r="B33" s="131"/>
      <c r="C33" s="107"/>
      <c r="D33" s="107"/>
      <c r="E33" s="108"/>
      <c r="F33" s="109"/>
      <c r="G33" s="109"/>
      <c r="H33" s="107"/>
      <c r="M33" s="101" t="str">
        <f t="shared" si="0"/>
        <v>----&gt;</v>
      </c>
      <c r="N33" s="130"/>
      <c r="O33" s="111"/>
      <c r="P33" s="112"/>
      <c r="Q33" s="113"/>
      <c r="R33" s="114"/>
      <c r="S33" s="112"/>
      <c r="T33" s="115"/>
      <c r="Y33" s="106"/>
    </row>
    <row r="34" spans="2:25" x14ac:dyDescent="0.3">
      <c r="B34" s="131"/>
      <c r="C34" s="107"/>
      <c r="D34" s="107"/>
      <c r="E34" s="108"/>
      <c r="F34" s="109"/>
      <c r="G34" s="109"/>
      <c r="H34" s="107"/>
      <c r="M34" s="101" t="str">
        <f t="shared" si="0"/>
        <v>----&gt;</v>
      </c>
      <c r="N34" s="130"/>
      <c r="O34" s="111"/>
      <c r="P34" s="112"/>
      <c r="Q34" s="113"/>
      <c r="R34" s="114"/>
      <c r="S34" s="112"/>
      <c r="T34" s="115"/>
      <c r="Y34" s="106"/>
    </row>
    <row r="35" spans="2:25" x14ac:dyDescent="0.3">
      <c r="B35" s="131"/>
      <c r="C35" s="107"/>
      <c r="D35" s="107"/>
      <c r="E35" s="108"/>
      <c r="F35" s="109"/>
      <c r="G35" s="109"/>
      <c r="H35" s="107"/>
      <c r="M35" s="101" t="str">
        <f t="shared" si="0"/>
        <v>----&gt;</v>
      </c>
      <c r="N35" s="130"/>
      <c r="O35" s="111"/>
      <c r="P35" s="112"/>
      <c r="Q35" s="113"/>
      <c r="R35" s="114"/>
      <c r="S35" s="112"/>
      <c r="T35" s="115"/>
      <c r="Y35" s="106"/>
    </row>
    <row r="36" spans="2:25" x14ac:dyDescent="0.3">
      <c r="B36" s="131"/>
      <c r="C36" s="107"/>
      <c r="D36" s="107"/>
      <c r="E36" s="108"/>
      <c r="F36" s="109"/>
      <c r="G36" s="109"/>
      <c r="H36" s="107"/>
      <c r="M36" s="101" t="str">
        <f t="shared" si="0"/>
        <v>----&gt;</v>
      </c>
      <c r="N36" s="130"/>
      <c r="O36" s="111"/>
      <c r="P36" s="112"/>
      <c r="Q36" s="113"/>
      <c r="R36" s="114"/>
      <c r="S36" s="112"/>
      <c r="T36" s="115"/>
      <c r="Y36" s="106"/>
    </row>
    <row r="37" spans="2:25" x14ac:dyDescent="0.3">
      <c r="B37" s="131"/>
      <c r="C37" s="107"/>
      <c r="D37" s="107"/>
      <c r="E37" s="108"/>
      <c r="F37" s="109"/>
      <c r="G37" s="109"/>
      <c r="H37" s="107"/>
      <c r="M37" s="101" t="str">
        <f t="shared" si="0"/>
        <v>----&gt;</v>
      </c>
      <c r="N37" s="130"/>
      <c r="O37" s="111"/>
      <c r="P37" s="112"/>
      <c r="Q37" s="113"/>
      <c r="R37" s="114"/>
      <c r="S37" s="112"/>
      <c r="T37" s="115"/>
      <c r="Y37" s="106"/>
    </row>
    <row r="38" spans="2:25" x14ac:dyDescent="0.3">
      <c r="B38" s="131"/>
      <c r="C38" s="107"/>
      <c r="D38" s="107"/>
      <c r="E38" s="108"/>
      <c r="F38" s="109"/>
      <c r="G38" s="109"/>
      <c r="H38" s="107"/>
      <c r="M38" s="101" t="str">
        <f t="shared" si="0"/>
        <v>----&gt;</v>
      </c>
      <c r="N38" s="130"/>
      <c r="O38" s="111"/>
      <c r="P38" s="112"/>
      <c r="Q38" s="113"/>
      <c r="R38" s="114"/>
      <c r="S38" s="112"/>
      <c r="T38" s="115"/>
      <c r="Y38" s="106"/>
    </row>
    <row r="39" spans="2:25" x14ac:dyDescent="0.3">
      <c r="B39" s="131"/>
      <c r="C39" s="107"/>
      <c r="D39" s="107"/>
      <c r="E39" s="108"/>
      <c r="F39" s="109"/>
      <c r="G39" s="109"/>
      <c r="H39" s="107"/>
      <c r="M39" s="101" t="str">
        <f t="shared" si="0"/>
        <v>----&gt;</v>
      </c>
      <c r="N39" s="130"/>
      <c r="O39" s="111"/>
      <c r="P39" s="112"/>
      <c r="Q39" s="113"/>
      <c r="R39" s="114"/>
      <c r="S39" s="112"/>
      <c r="T39" s="115"/>
      <c r="Y39" s="106"/>
    </row>
    <row r="40" spans="2:25" x14ac:dyDescent="0.3">
      <c r="B40" s="131"/>
      <c r="C40" s="107"/>
      <c r="D40" s="107"/>
      <c r="E40" s="108"/>
      <c r="F40" s="109"/>
      <c r="G40" s="109"/>
      <c r="H40" s="107"/>
      <c r="M40" s="101" t="str">
        <f t="shared" si="0"/>
        <v>----&gt;</v>
      </c>
      <c r="N40" s="130"/>
      <c r="O40" s="111"/>
      <c r="P40" s="112"/>
      <c r="Q40" s="113"/>
      <c r="R40" s="114"/>
      <c r="S40" s="112"/>
      <c r="T40" s="115"/>
      <c r="Y40" s="106"/>
    </row>
    <row r="41" spans="2:25" x14ac:dyDescent="0.3">
      <c r="B41" s="131"/>
      <c r="C41" s="107"/>
      <c r="D41" s="107"/>
      <c r="E41" s="108"/>
      <c r="F41" s="109"/>
      <c r="G41" s="109"/>
      <c r="H41" s="107"/>
      <c r="M41" s="101" t="str">
        <f t="shared" si="0"/>
        <v>----&gt;</v>
      </c>
      <c r="N41" s="130"/>
      <c r="O41" s="111"/>
      <c r="P41" s="112"/>
      <c r="Q41" s="113"/>
      <c r="R41" s="114"/>
      <c r="S41" s="112"/>
      <c r="T41" s="115"/>
      <c r="Y41" s="106"/>
    </row>
    <row r="42" spans="2:25" x14ac:dyDescent="0.3">
      <c r="B42" s="131"/>
      <c r="C42" s="107"/>
      <c r="D42" s="107"/>
      <c r="E42" s="108"/>
      <c r="F42" s="109"/>
      <c r="G42" s="109"/>
      <c r="H42" s="107"/>
      <c r="M42" s="101" t="str">
        <f t="shared" si="0"/>
        <v>----&gt;</v>
      </c>
      <c r="N42" s="130"/>
      <c r="O42" s="111"/>
      <c r="P42" s="112"/>
      <c r="Q42" s="113"/>
      <c r="R42" s="114"/>
      <c r="S42" s="112"/>
      <c r="T42" s="115"/>
      <c r="Y42" s="106"/>
    </row>
    <row r="43" spans="2:25" x14ac:dyDescent="0.3">
      <c r="B43" s="131"/>
      <c r="C43" s="107"/>
      <c r="D43" s="107"/>
      <c r="E43" s="108"/>
      <c r="F43" s="109"/>
      <c r="G43" s="109"/>
      <c r="H43" s="107"/>
      <c r="M43" s="101" t="str">
        <f t="shared" si="0"/>
        <v>----&gt;</v>
      </c>
      <c r="N43" s="130"/>
      <c r="O43" s="111"/>
      <c r="P43" s="112"/>
      <c r="Q43" s="113"/>
      <c r="R43" s="114"/>
      <c r="S43" s="112"/>
      <c r="T43" s="115"/>
      <c r="Y43" s="106"/>
    </row>
    <row r="44" spans="2:25" x14ac:dyDescent="0.3">
      <c r="B44" s="131"/>
      <c r="C44" s="107"/>
      <c r="D44" s="107"/>
      <c r="E44" s="108"/>
      <c r="F44" s="109"/>
      <c r="G44" s="109"/>
      <c r="H44" s="107"/>
      <c r="M44" s="101" t="str">
        <f t="shared" si="0"/>
        <v>----&gt;</v>
      </c>
      <c r="N44" s="130"/>
      <c r="O44" s="111"/>
      <c r="P44" s="112"/>
      <c r="Q44" s="113"/>
      <c r="R44" s="114"/>
      <c r="S44" s="112"/>
      <c r="T44" s="115"/>
      <c r="Y44" s="106"/>
    </row>
    <row r="45" spans="2:25" x14ac:dyDescent="0.3">
      <c r="B45" s="131"/>
      <c r="C45" s="107"/>
      <c r="D45" s="107"/>
      <c r="E45" s="108"/>
      <c r="F45" s="109"/>
      <c r="G45" s="109"/>
      <c r="H45" s="107"/>
      <c r="M45" s="101" t="str">
        <f t="shared" si="0"/>
        <v>----&gt;</v>
      </c>
      <c r="N45" s="130"/>
      <c r="O45" s="111"/>
      <c r="P45" s="112"/>
      <c r="Q45" s="113"/>
      <c r="R45" s="114"/>
      <c r="S45" s="112"/>
      <c r="T45" s="115"/>
      <c r="Y45" s="106"/>
    </row>
    <row r="46" spans="2:25" x14ac:dyDescent="0.3">
      <c r="B46" s="131"/>
      <c r="C46" s="107"/>
      <c r="D46" s="107"/>
      <c r="E46" s="108"/>
      <c r="F46" s="109"/>
      <c r="G46" s="109"/>
      <c r="H46" s="107"/>
      <c r="M46" s="101" t="str">
        <f t="shared" si="0"/>
        <v>----&gt;</v>
      </c>
      <c r="N46" s="130"/>
      <c r="O46" s="111"/>
      <c r="P46" s="112"/>
      <c r="Q46" s="113"/>
      <c r="R46" s="114"/>
      <c r="S46" s="112"/>
      <c r="T46" s="115"/>
      <c r="Y46" s="106"/>
    </row>
    <row r="47" spans="2:25" x14ac:dyDescent="0.3">
      <c r="B47" s="131"/>
      <c r="C47" s="107"/>
      <c r="D47" s="107"/>
      <c r="E47" s="108"/>
      <c r="F47" s="109"/>
      <c r="G47" s="109"/>
      <c r="H47" s="107"/>
      <c r="M47" s="101" t="str">
        <f t="shared" si="0"/>
        <v>----&gt;</v>
      </c>
      <c r="N47" s="130"/>
      <c r="O47" s="111"/>
      <c r="P47" s="112"/>
      <c r="Q47" s="113"/>
      <c r="R47" s="114"/>
      <c r="S47" s="112"/>
      <c r="T47" s="115"/>
      <c r="Y47" s="106"/>
    </row>
    <row r="48" spans="2:25" x14ac:dyDescent="0.3">
      <c r="B48" s="131"/>
      <c r="C48" s="107"/>
      <c r="D48" s="107"/>
      <c r="E48" s="108"/>
      <c r="F48" s="109"/>
      <c r="G48" s="109"/>
      <c r="H48" s="107"/>
      <c r="M48" s="101" t="str">
        <f t="shared" si="0"/>
        <v>----&gt;</v>
      </c>
      <c r="N48" s="130"/>
      <c r="O48" s="111"/>
      <c r="P48" s="112"/>
      <c r="Q48" s="113"/>
      <c r="R48" s="114"/>
      <c r="S48" s="112"/>
      <c r="T48" s="115"/>
      <c r="Y48" s="106"/>
    </row>
    <row r="49" spans="2:25" x14ac:dyDescent="0.3">
      <c r="B49" s="131"/>
      <c r="C49" s="107"/>
      <c r="D49" s="107"/>
      <c r="E49" s="108"/>
      <c r="F49" s="109"/>
      <c r="G49" s="109"/>
      <c r="H49" s="107"/>
      <c r="M49" s="101" t="str">
        <f t="shared" si="0"/>
        <v>----&gt;</v>
      </c>
      <c r="N49" s="130"/>
      <c r="O49" s="111"/>
      <c r="P49" s="112"/>
      <c r="Q49" s="113"/>
      <c r="R49" s="114"/>
      <c r="S49" s="112"/>
      <c r="T49" s="115"/>
      <c r="Y49" s="106"/>
    </row>
    <row r="50" spans="2:25" x14ac:dyDescent="0.3">
      <c r="B50" s="131"/>
      <c r="C50" s="107"/>
      <c r="D50" s="107"/>
      <c r="E50" s="108"/>
      <c r="F50" s="109"/>
      <c r="G50" s="109"/>
      <c r="H50" s="107"/>
      <c r="M50" s="101" t="str">
        <f t="shared" si="0"/>
        <v>----&gt;</v>
      </c>
      <c r="N50" s="130"/>
      <c r="O50" s="111"/>
      <c r="P50" s="112"/>
      <c r="Q50" s="113"/>
      <c r="R50" s="114"/>
      <c r="S50" s="112"/>
      <c r="T50" s="115"/>
      <c r="Y50" s="106"/>
    </row>
    <row r="51" spans="2:25" x14ac:dyDescent="0.3">
      <c r="B51" s="131"/>
      <c r="C51" s="107"/>
      <c r="D51" s="107"/>
      <c r="E51" s="108"/>
      <c r="F51" s="109"/>
      <c r="G51" s="109"/>
      <c r="H51" s="107"/>
      <c r="M51" s="101" t="str">
        <f t="shared" si="0"/>
        <v>----&gt;</v>
      </c>
      <c r="N51" s="130"/>
      <c r="O51" s="111"/>
      <c r="P51" s="112"/>
      <c r="Q51" s="113"/>
      <c r="R51" s="114"/>
      <c r="S51" s="112"/>
      <c r="T51" s="115"/>
      <c r="Y51" s="106"/>
    </row>
    <row r="52" spans="2:25" x14ac:dyDescent="0.3">
      <c r="B52" s="131"/>
      <c r="C52" s="107"/>
      <c r="D52" s="107"/>
      <c r="E52" s="108"/>
      <c r="F52" s="109"/>
      <c r="G52" s="109"/>
      <c r="H52" s="107"/>
      <c r="M52" s="101" t="str">
        <f t="shared" si="0"/>
        <v>----&gt;</v>
      </c>
      <c r="N52" s="130"/>
      <c r="O52" s="111"/>
      <c r="P52" s="112"/>
      <c r="Q52" s="113"/>
      <c r="R52" s="114"/>
      <c r="S52" s="112"/>
      <c r="T52" s="115"/>
      <c r="Y52" s="106"/>
    </row>
    <row r="53" spans="2:25" x14ac:dyDescent="0.3">
      <c r="B53" s="131"/>
      <c r="C53" s="107"/>
      <c r="D53" s="107"/>
      <c r="E53" s="108"/>
      <c r="F53" s="109"/>
      <c r="G53" s="109"/>
      <c r="H53" s="107"/>
      <c r="M53" s="101" t="str">
        <f t="shared" si="0"/>
        <v>----&gt;</v>
      </c>
      <c r="N53" s="130"/>
      <c r="O53" s="111"/>
      <c r="P53" s="112"/>
      <c r="Q53" s="113"/>
      <c r="R53" s="114"/>
      <c r="S53" s="112"/>
      <c r="T53" s="115"/>
      <c r="Y53" s="106"/>
    </row>
    <row r="54" spans="2:25" x14ac:dyDescent="0.3">
      <c r="B54" s="131"/>
      <c r="C54" s="107"/>
      <c r="D54" s="107"/>
      <c r="E54" s="108"/>
      <c r="F54" s="109"/>
      <c r="G54" s="109"/>
      <c r="H54" s="107"/>
      <c r="M54" s="101" t="str">
        <f t="shared" si="0"/>
        <v>----&gt;</v>
      </c>
      <c r="N54" s="130"/>
      <c r="O54" s="111"/>
      <c r="P54" s="112"/>
      <c r="Q54" s="113"/>
      <c r="R54" s="114"/>
      <c r="S54" s="112"/>
      <c r="T54" s="115"/>
      <c r="Y54" s="106"/>
    </row>
    <row r="55" spans="2:25" x14ac:dyDescent="0.3">
      <c r="B55" s="131"/>
      <c r="C55" s="107"/>
      <c r="D55" s="107"/>
      <c r="E55" s="108"/>
      <c r="F55" s="109"/>
      <c r="G55" s="109"/>
      <c r="H55" s="107"/>
      <c r="M55" s="101" t="str">
        <f t="shared" si="0"/>
        <v>----&gt;</v>
      </c>
      <c r="N55" s="130"/>
      <c r="O55" s="111"/>
      <c r="P55" s="112"/>
      <c r="Q55" s="113"/>
      <c r="R55" s="114"/>
      <c r="S55" s="112"/>
      <c r="T55" s="115"/>
      <c r="Y55" s="106"/>
    </row>
    <row r="56" spans="2:25" x14ac:dyDescent="0.3">
      <c r="B56" s="131"/>
      <c r="C56" s="107"/>
      <c r="D56" s="107"/>
      <c r="E56" s="108"/>
      <c r="F56" s="109"/>
      <c r="G56" s="109"/>
      <c r="H56" s="107"/>
      <c r="M56" s="101" t="str">
        <f t="shared" si="0"/>
        <v>----&gt;</v>
      </c>
      <c r="N56" s="130"/>
      <c r="O56" s="111"/>
      <c r="P56" s="112"/>
      <c r="Q56" s="113"/>
      <c r="R56" s="114"/>
      <c r="S56" s="112"/>
      <c r="T56" s="115"/>
      <c r="Y56" s="106"/>
    </row>
    <row r="57" spans="2:25" x14ac:dyDescent="0.3">
      <c r="B57" s="131"/>
      <c r="C57" s="107"/>
      <c r="D57" s="107"/>
      <c r="E57" s="108"/>
      <c r="F57" s="109"/>
      <c r="G57" s="109"/>
      <c r="H57" s="107"/>
      <c r="M57" s="101" t="str">
        <f t="shared" si="0"/>
        <v>----&gt;</v>
      </c>
      <c r="N57" s="130"/>
      <c r="O57" s="111"/>
      <c r="P57" s="112"/>
      <c r="Q57" s="113"/>
      <c r="R57" s="114"/>
      <c r="S57" s="112"/>
      <c r="T57" s="115"/>
      <c r="Y57" s="106"/>
    </row>
    <row r="58" spans="2:25" x14ac:dyDescent="0.3">
      <c r="B58" s="131"/>
      <c r="C58" s="107"/>
      <c r="D58" s="107"/>
      <c r="E58" s="108"/>
      <c r="F58" s="109"/>
      <c r="G58" s="109"/>
      <c r="H58" s="107"/>
      <c r="M58" s="101" t="str">
        <f t="shared" si="0"/>
        <v>----&gt;</v>
      </c>
      <c r="N58" s="130"/>
      <c r="O58" s="111"/>
      <c r="P58" s="112"/>
      <c r="Q58" s="113"/>
      <c r="R58" s="114"/>
      <c r="S58" s="112"/>
      <c r="T58" s="115"/>
      <c r="Y58" s="106"/>
    </row>
    <row r="59" spans="2:25" x14ac:dyDescent="0.3">
      <c r="B59" s="131"/>
      <c r="C59" s="107"/>
      <c r="D59" s="107"/>
      <c r="E59" s="108"/>
      <c r="F59" s="109"/>
      <c r="G59" s="109"/>
      <c r="H59" s="107"/>
      <c r="M59" s="101" t="str">
        <f t="shared" si="0"/>
        <v>----&gt;</v>
      </c>
      <c r="N59" s="130"/>
      <c r="O59" s="111"/>
      <c r="P59" s="112"/>
      <c r="Q59" s="113"/>
      <c r="R59" s="114"/>
      <c r="S59" s="112"/>
      <c r="T59" s="115"/>
      <c r="Y59" s="106"/>
    </row>
    <row r="60" spans="2:25" x14ac:dyDescent="0.3">
      <c r="B60" s="131"/>
      <c r="C60" s="107"/>
      <c r="D60" s="107"/>
      <c r="E60" s="108"/>
      <c r="F60" s="109"/>
      <c r="G60" s="109"/>
      <c r="H60" s="107"/>
      <c r="M60" s="101" t="str">
        <f t="shared" si="0"/>
        <v>----&gt;</v>
      </c>
      <c r="N60" s="130"/>
      <c r="O60" s="111"/>
      <c r="P60" s="112"/>
      <c r="Q60" s="113"/>
      <c r="R60" s="114"/>
      <c r="S60" s="112"/>
      <c r="T60" s="115"/>
      <c r="Y60" s="106"/>
    </row>
    <row r="61" spans="2:25" x14ac:dyDescent="0.3">
      <c r="B61" s="131"/>
      <c r="C61" s="107"/>
      <c r="D61" s="107"/>
      <c r="E61" s="108"/>
      <c r="F61" s="109"/>
      <c r="G61" s="109"/>
      <c r="H61" s="107"/>
      <c r="M61" s="101" t="str">
        <f t="shared" si="0"/>
        <v>----&gt;</v>
      </c>
      <c r="N61" s="130"/>
      <c r="O61" s="111"/>
      <c r="P61" s="112"/>
      <c r="Q61" s="113"/>
      <c r="R61" s="114"/>
      <c r="S61" s="112"/>
      <c r="T61" s="115"/>
      <c r="Y61" s="106"/>
    </row>
    <row r="62" spans="2:25" x14ac:dyDescent="0.3">
      <c r="B62" s="131"/>
      <c r="C62" s="107"/>
      <c r="D62" s="107"/>
      <c r="E62" s="108"/>
      <c r="F62" s="109"/>
      <c r="G62" s="109"/>
      <c r="H62" s="107"/>
      <c r="M62" s="101" t="str">
        <f t="shared" si="0"/>
        <v>----&gt;</v>
      </c>
      <c r="N62" s="130"/>
      <c r="O62" s="111"/>
      <c r="P62" s="112"/>
      <c r="Q62" s="113"/>
      <c r="R62" s="114"/>
      <c r="S62" s="112"/>
      <c r="T62" s="115"/>
      <c r="Y62" s="106"/>
    </row>
    <row r="63" spans="2:25" x14ac:dyDescent="0.3">
      <c r="B63" s="131"/>
      <c r="C63" s="107"/>
      <c r="D63" s="107"/>
      <c r="E63" s="108"/>
      <c r="F63" s="109"/>
      <c r="G63" s="109"/>
      <c r="H63" s="107"/>
      <c r="M63" s="101" t="str">
        <f t="shared" si="0"/>
        <v>----&gt;</v>
      </c>
      <c r="N63" s="130"/>
      <c r="O63" s="111"/>
      <c r="P63" s="112"/>
      <c r="Q63" s="113"/>
      <c r="R63" s="114"/>
      <c r="S63" s="112"/>
      <c r="T63" s="115"/>
      <c r="Y63" s="106"/>
    </row>
    <row r="64" spans="2:25" x14ac:dyDescent="0.3">
      <c r="B64" s="131"/>
      <c r="C64" s="107"/>
      <c r="D64" s="107"/>
      <c r="E64" s="108"/>
      <c r="F64" s="109"/>
      <c r="G64" s="109"/>
      <c r="H64" s="107"/>
      <c r="M64" s="101" t="str">
        <f t="shared" si="0"/>
        <v>----&gt;</v>
      </c>
      <c r="N64" s="130"/>
      <c r="O64" s="111"/>
      <c r="P64" s="112"/>
      <c r="Q64" s="113"/>
      <c r="R64" s="114"/>
      <c r="S64" s="112"/>
      <c r="T64" s="115"/>
      <c r="Y64" s="106"/>
    </row>
    <row r="65" spans="2:25" x14ac:dyDescent="0.3">
      <c r="B65" s="131"/>
      <c r="C65" s="107"/>
      <c r="D65" s="107"/>
      <c r="E65" s="108"/>
      <c r="F65" s="109"/>
      <c r="G65" s="109"/>
      <c r="H65" s="107"/>
      <c r="M65" s="101" t="str">
        <f t="shared" si="0"/>
        <v>----&gt;</v>
      </c>
      <c r="N65" s="130"/>
      <c r="O65" s="111"/>
      <c r="P65" s="112"/>
      <c r="Q65" s="113"/>
      <c r="R65" s="114"/>
      <c r="S65" s="112"/>
      <c r="T65" s="115"/>
      <c r="Y65" s="106"/>
    </row>
    <row r="66" spans="2:25" x14ac:dyDescent="0.3">
      <c r="B66" s="131"/>
      <c r="C66" s="107"/>
      <c r="D66" s="107"/>
      <c r="E66" s="108"/>
      <c r="F66" s="109"/>
      <c r="G66" s="109"/>
      <c r="H66" s="107"/>
      <c r="M66" s="101" t="str">
        <f t="shared" si="0"/>
        <v>----&gt;</v>
      </c>
      <c r="N66" s="130"/>
      <c r="O66" s="111"/>
      <c r="P66" s="112"/>
      <c r="Q66" s="113"/>
      <c r="R66" s="114"/>
      <c r="S66" s="112"/>
      <c r="T66" s="115"/>
      <c r="Y66" s="106"/>
    </row>
    <row r="67" spans="2:25" x14ac:dyDescent="0.3">
      <c r="B67" s="131"/>
      <c r="C67" s="107"/>
      <c r="D67" s="107"/>
      <c r="E67" s="108"/>
      <c r="F67" s="109"/>
      <c r="G67" s="109"/>
      <c r="H67" s="107"/>
      <c r="M67" s="101" t="str">
        <f t="shared" si="0"/>
        <v>----&gt;</v>
      </c>
      <c r="N67" s="130"/>
      <c r="O67" s="111"/>
      <c r="P67" s="112"/>
      <c r="Q67" s="113"/>
      <c r="R67" s="114"/>
      <c r="S67" s="112"/>
      <c r="T67" s="115"/>
      <c r="Y67" s="106"/>
    </row>
    <row r="68" spans="2:25" x14ac:dyDescent="0.3">
      <c r="B68" s="131"/>
      <c r="C68" s="107"/>
      <c r="D68" s="107"/>
      <c r="E68" s="108"/>
      <c r="F68" s="109"/>
      <c r="G68" s="109"/>
      <c r="H68" s="107"/>
      <c r="M68" s="101" t="str">
        <f t="shared" ref="M68:M131" si="1">"----&gt;"</f>
        <v>----&gt;</v>
      </c>
      <c r="N68" s="130"/>
      <c r="O68" s="111"/>
      <c r="P68" s="112"/>
      <c r="Q68" s="113"/>
      <c r="R68" s="114"/>
      <c r="S68" s="112"/>
      <c r="T68" s="115"/>
      <c r="Y68" s="106"/>
    </row>
    <row r="69" spans="2:25" x14ac:dyDescent="0.3">
      <c r="B69" s="131"/>
      <c r="C69" s="107"/>
      <c r="D69" s="107"/>
      <c r="E69" s="108"/>
      <c r="F69" s="109"/>
      <c r="G69" s="109"/>
      <c r="H69" s="107"/>
      <c r="M69" s="101" t="str">
        <f t="shared" si="1"/>
        <v>----&gt;</v>
      </c>
      <c r="N69" s="130"/>
      <c r="O69" s="111"/>
      <c r="P69" s="112"/>
      <c r="Q69" s="113"/>
      <c r="R69" s="114"/>
      <c r="S69" s="112"/>
      <c r="T69" s="115"/>
      <c r="Y69" s="106"/>
    </row>
    <row r="70" spans="2:25" x14ac:dyDescent="0.3">
      <c r="B70" s="131"/>
      <c r="C70" s="107"/>
      <c r="D70" s="107"/>
      <c r="E70" s="108"/>
      <c r="F70" s="109"/>
      <c r="G70" s="109"/>
      <c r="H70" s="107"/>
      <c r="M70" s="101" t="str">
        <f t="shared" si="1"/>
        <v>----&gt;</v>
      </c>
      <c r="N70" s="130"/>
      <c r="O70" s="111"/>
      <c r="P70" s="112"/>
      <c r="Q70" s="113"/>
      <c r="R70" s="114"/>
      <c r="S70" s="112"/>
      <c r="T70" s="115"/>
      <c r="Y70" s="106"/>
    </row>
    <row r="71" spans="2:25" x14ac:dyDescent="0.3">
      <c r="B71" s="131"/>
      <c r="C71" s="107"/>
      <c r="D71" s="107"/>
      <c r="E71" s="108"/>
      <c r="F71" s="109"/>
      <c r="G71" s="109"/>
      <c r="H71" s="107"/>
      <c r="M71" s="101" t="str">
        <f t="shared" si="1"/>
        <v>----&gt;</v>
      </c>
      <c r="N71" s="130"/>
      <c r="O71" s="111"/>
      <c r="P71" s="112"/>
      <c r="Q71" s="113"/>
      <c r="R71" s="114"/>
      <c r="S71" s="112"/>
      <c r="T71" s="115"/>
      <c r="Y71" s="106"/>
    </row>
    <row r="72" spans="2:25" x14ac:dyDescent="0.3">
      <c r="B72" s="131"/>
      <c r="C72" s="107"/>
      <c r="D72" s="107"/>
      <c r="E72" s="108"/>
      <c r="F72" s="109"/>
      <c r="G72" s="109"/>
      <c r="H72" s="107"/>
      <c r="M72" s="101" t="str">
        <f t="shared" si="1"/>
        <v>----&gt;</v>
      </c>
      <c r="N72" s="130"/>
      <c r="O72" s="111"/>
      <c r="P72" s="112"/>
      <c r="Q72" s="113"/>
      <c r="R72" s="114"/>
      <c r="S72" s="112"/>
      <c r="T72" s="115"/>
      <c r="Y72" s="106"/>
    </row>
    <row r="73" spans="2:25" x14ac:dyDescent="0.3">
      <c r="B73" s="131"/>
      <c r="C73" s="107"/>
      <c r="D73" s="107"/>
      <c r="E73" s="108"/>
      <c r="F73" s="109"/>
      <c r="G73" s="109"/>
      <c r="H73" s="107"/>
      <c r="M73" s="101" t="str">
        <f t="shared" si="1"/>
        <v>----&gt;</v>
      </c>
      <c r="N73" s="130"/>
      <c r="O73" s="111"/>
      <c r="P73" s="112"/>
      <c r="Q73" s="113"/>
      <c r="R73" s="114"/>
      <c r="S73" s="112"/>
      <c r="T73" s="115"/>
      <c r="Y73" s="106"/>
    </row>
    <row r="74" spans="2:25" x14ac:dyDescent="0.3">
      <c r="B74" s="131"/>
      <c r="C74" s="107"/>
      <c r="D74" s="107"/>
      <c r="E74" s="108"/>
      <c r="F74" s="109"/>
      <c r="G74" s="109"/>
      <c r="H74" s="107"/>
      <c r="M74" s="101" t="str">
        <f t="shared" si="1"/>
        <v>----&gt;</v>
      </c>
      <c r="N74" s="130"/>
      <c r="O74" s="111"/>
      <c r="P74" s="112"/>
      <c r="Q74" s="113"/>
      <c r="R74" s="114"/>
      <c r="S74" s="112"/>
      <c r="T74" s="115"/>
      <c r="Y74" s="106"/>
    </row>
    <row r="75" spans="2:25" x14ac:dyDescent="0.3">
      <c r="B75" s="131"/>
      <c r="C75" s="107"/>
      <c r="D75" s="107"/>
      <c r="E75" s="108"/>
      <c r="F75" s="109"/>
      <c r="G75" s="109"/>
      <c r="H75" s="107"/>
      <c r="M75" s="101" t="str">
        <f t="shared" si="1"/>
        <v>----&gt;</v>
      </c>
      <c r="N75" s="130"/>
      <c r="O75" s="111"/>
      <c r="P75" s="112"/>
      <c r="Q75" s="113"/>
      <c r="R75" s="114"/>
      <c r="S75" s="112"/>
      <c r="T75" s="115"/>
      <c r="Y75" s="106"/>
    </row>
    <row r="76" spans="2:25" x14ac:dyDescent="0.3">
      <c r="B76" s="131"/>
      <c r="C76" s="107"/>
      <c r="D76" s="107"/>
      <c r="E76" s="108"/>
      <c r="F76" s="109"/>
      <c r="G76" s="109"/>
      <c r="H76" s="107"/>
      <c r="M76" s="101" t="str">
        <f t="shared" si="1"/>
        <v>----&gt;</v>
      </c>
      <c r="N76" s="130"/>
      <c r="O76" s="111"/>
      <c r="P76" s="112"/>
      <c r="Q76" s="113"/>
      <c r="R76" s="114"/>
      <c r="S76" s="112"/>
      <c r="T76" s="115"/>
      <c r="Y76" s="106"/>
    </row>
    <row r="77" spans="2:25" x14ac:dyDescent="0.3">
      <c r="B77" s="131"/>
      <c r="C77" s="107"/>
      <c r="D77" s="107"/>
      <c r="E77" s="108"/>
      <c r="F77" s="109"/>
      <c r="G77" s="109"/>
      <c r="H77" s="107"/>
      <c r="M77" s="101" t="str">
        <f t="shared" si="1"/>
        <v>----&gt;</v>
      </c>
      <c r="N77" s="130"/>
      <c r="O77" s="111"/>
      <c r="P77" s="112"/>
      <c r="Q77" s="113"/>
      <c r="R77" s="114"/>
      <c r="S77" s="112"/>
      <c r="T77" s="115"/>
      <c r="Y77" s="106"/>
    </row>
    <row r="78" spans="2:25" x14ac:dyDescent="0.3">
      <c r="B78" s="131"/>
      <c r="C78" s="107"/>
      <c r="D78" s="107"/>
      <c r="E78" s="108"/>
      <c r="F78" s="109"/>
      <c r="G78" s="109"/>
      <c r="H78" s="107"/>
      <c r="M78" s="101" t="str">
        <f t="shared" si="1"/>
        <v>----&gt;</v>
      </c>
      <c r="N78" s="130"/>
      <c r="O78" s="111"/>
      <c r="P78" s="112"/>
      <c r="Q78" s="113"/>
      <c r="R78" s="114"/>
      <c r="S78" s="112"/>
      <c r="T78" s="115"/>
      <c r="Y78" s="106"/>
    </row>
    <row r="79" spans="2:25" x14ac:dyDescent="0.3">
      <c r="B79" s="131"/>
      <c r="C79" s="107"/>
      <c r="D79" s="107"/>
      <c r="E79" s="108"/>
      <c r="F79" s="109"/>
      <c r="G79" s="109"/>
      <c r="H79" s="107"/>
      <c r="M79" s="101" t="str">
        <f t="shared" si="1"/>
        <v>----&gt;</v>
      </c>
      <c r="N79" s="130"/>
      <c r="O79" s="111"/>
      <c r="P79" s="112"/>
      <c r="Q79" s="113"/>
      <c r="R79" s="114"/>
      <c r="S79" s="112"/>
      <c r="T79" s="115"/>
      <c r="Y79" s="106"/>
    </row>
    <row r="80" spans="2:25" x14ac:dyDescent="0.3">
      <c r="B80" s="131"/>
      <c r="C80" s="107"/>
      <c r="D80" s="107"/>
      <c r="E80" s="108"/>
      <c r="F80" s="109"/>
      <c r="G80" s="109"/>
      <c r="H80" s="107"/>
      <c r="M80" s="101" t="str">
        <f t="shared" si="1"/>
        <v>----&gt;</v>
      </c>
      <c r="N80" s="130"/>
      <c r="O80" s="111"/>
      <c r="P80" s="112"/>
      <c r="Q80" s="113"/>
      <c r="R80" s="114"/>
      <c r="S80" s="112"/>
      <c r="T80" s="115"/>
      <c r="Y80" s="106"/>
    </row>
    <row r="81" spans="2:25" x14ac:dyDescent="0.3">
      <c r="B81" s="131"/>
      <c r="C81" s="107"/>
      <c r="D81" s="107"/>
      <c r="E81" s="108"/>
      <c r="F81" s="109"/>
      <c r="G81" s="109"/>
      <c r="H81" s="107"/>
      <c r="M81" s="101" t="str">
        <f t="shared" si="1"/>
        <v>----&gt;</v>
      </c>
      <c r="N81" s="130"/>
      <c r="O81" s="111"/>
      <c r="P81" s="112"/>
      <c r="Q81" s="113"/>
      <c r="R81" s="114"/>
      <c r="S81" s="112"/>
      <c r="T81" s="115"/>
      <c r="Y81" s="106"/>
    </row>
    <row r="82" spans="2:25" x14ac:dyDescent="0.3">
      <c r="B82" s="131"/>
      <c r="C82" s="107"/>
      <c r="D82" s="107"/>
      <c r="E82" s="108"/>
      <c r="F82" s="109"/>
      <c r="G82" s="109"/>
      <c r="H82" s="107"/>
      <c r="M82" s="101" t="str">
        <f t="shared" si="1"/>
        <v>----&gt;</v>
      </c>
      <c r="N82" s="130"/>
      <c r="O82" s="111"/>
      <c r="P82" s="112"/>
      <c r="Q82" s="113"/>
      <c r="R82" s="114"/>
      <c r="S82" s="112"/>
      <c r="T82" s="115"/>
      <c r="Y82" s="106"/>
    </row>
    <row r="83" spans="2:25" x14ac:dyDescent="0.3">
      <c r="B83" s="131"/>
      <c r="C83" s="107"/>
      <c r="D83" s="107"/>
      <c r="E83" s="108"/>
      <c r="F83" s="109"/>
      <c r="G83" s="109"/>
      <c r="H83" s="107"/>
      <c r="M83" s="101" t="str">
        <f t="shared" si="1"/>
        <v>----&gt;</v>
      </c>
      <c r="N83" s="130"/>
      <c r="O83" s="111"/>
      <c r="P83" s="112"/>
      <c r="Q83" s="113"/>
      <c r="R83" s="114"/>
      <c r="S83" s="112"/>
      <c r="T83" s="115"/>
      <c r="Y83" s="106"/>
    </row>
    <row r="84" spans="2:25" x14ac:dyDescent="0.3">
      <c r="B84" s="131"/>
      <c r="C84" s="107"/>
      <c r="D84" s="107"/>
      <c r="E84" s="108"/>
      <c r="F84" s="109"/>
      <c r="G84" s="109"/>
      <c r="H84" s="107"/>
      <c r="M84" s="101" t="str">
        <f t="shared" si="1"/>
        <v>----&gt;</v>
      </c>
      <c r="N84" s="130"/>
      <c r="O84" s="111"/>
      <c r="P84" s="112"/>
      <c r="Q84" s="113"/>
      <c r="R84" s="114"/>
      <c r="S84" s="112"/>
      <c r="T84" s="115"/>
      <c r="Y84" s="106"/>
    </row>
    <row r="85" spans="2:25" x14ac:dyDescent="0.3">
      <c r="B85" s="131"/>
      <c r="C85" s="107"/>
      <c r="D85" s="107"/>
      <c r="E85" s="108"/>
      <c r="F85" s="109"/>
      <c r="G85" s="109"/>
      <c r="H85" s="107"/>
      <c r="M85" s="101" t="str">
        <f t="shared" si="1"/>
        <v>----&gt;</v>
      </c>
      <c r="N85" s="130"/>
      <c r="O85" s="111"/>
      <c r="P85" s="112"/>
      <c r="Q85" s="113"/>
      <c r="R85" s="114"/>
      <c r="S85" s="112"/>
      <c r="T85" s="115"/>
      <c r="Y85" s="106"/>
    </row>
    <row r="86" spans="2:25" x14ac:dyDescent="0.3">
      <c r="B86" s="131"/>
      <c r="C86" s="107"/>
      <c r="D86" s="107"/>
      <c r="E86" s="108"/>
      <c r="F86" s="109"/>
      <c r="G86" s="109"/>
      <c r="H86" s="107"/>
      <c r="M86" s="101" t="str">
        <f t="shared" si="1"/>
        <v>----&gt;</v>
      </c>
      <c r="N86" s="130"/>
      <c r="O86" s="111"/>
      <c r="P86" s="112"/>
      <c r="Q86" s="113"/>
      <c r="R86" s="114"/>
      <c r="S86" s="112"/>
      <c r="T86" s="115"/>
      <c r="Y86" s="106"/>
    </row>
    <row r="87" spans="2:25" x14ac:dyDescent="0.3">
      <c r="B87" s="131"/>
      <c r="C87" s="107"/>
      <c r="D87" s="107"/>
      <c r="E87" s="108"/>
      <c r="F87" s="109"/>
      <c r="G87" s="109"/>
      <c r="H87" s="107"/>
      <c r="M87" s="101" t="str">
        <f t="shared" si="1"/>
        <v>----&gt;</v>
      </c>
      <c r="N87" s="130"/>
      <c r="O87" s="111"/>
      <c r="P87" s="112"/>
      <c r="Q87" s="113"/>
      <c r="R87" s="114"/>
      <c r="S87" s="112"/>
      <c r="T87" s="115"/>
      <c r="Y87" s="106"/>
    </row>
    <row r="88" spans="2:25" x14ac:dyDescent="0.3">
      <c r="B88" s="131"/>
      <c r="C88" s="107"/>
      <c r="D88" s="107"/>
      <c r="E88" s="108"/>
      <c r="F88" s="109"/>
      <c r="G88" s="109"/>
      <c r="H88" s="107"/>
      <c r="M88" s="101" t="str">
        <f t="shared" si="1"/>
        <v>----&gt;</v>
      </c>
      <c r="N88" s="130"/>
      <c r="O88" s="111"/>
      <c r="P88" s="112"/>
      <c r="Q88" s="113"/>
      <c r="R88" s="114"/>
      <c r="S88" s="112"/>
      <c r="T88" s="115"/>
      <c r="Y88" s="106"/>
    </row>
    <row r="89" spans="2:25" x14ac:dyDescent="0.3">
      <c r="B89" s="131"/>
      <c r="C89" s="107"/>
      <c r="D89" s="107"/>
      <c r="E89" s="108"/>
      <c r="F89" s="109"/>
      <c r="G89" s="109"/>
      <c r="H89" s="107"/>
      <c r="M89" s="101" t="str">
        <f t="shared" si="1"/>
        <v>----&gt;</v>
      </c>
      <c r="N89" s="130"/>
      <c r="O89" s="111"/>
      <c r="P89" s="112"/>
      <c r="Q89" s="113"/>
      <c r="R89" s="114"/>
      <c r="S89" s="112"/>
      <c r="T89" s="115"/>
      <c r="Y89" s="106"/>
    </row>
    <row r="90" spans="2:25" x14ac:dyDescent="0.3">
      <c r="B90" s="131"/>
      <c r="C90" s="107"/>
      <c r="D90" s="107"/>
      <c r="E90" s="108"/>
      <c r="F90" s="109"/>
      <c r="G90" s="109"/>
      <c r="H90" s="107"/>
      <c r="M90" s="101" t="str">
        <f t="shared" si="1"/>
        <v>----&gt;</v>
      </c>
      <c r="N90" s="130"/>
      <c r="O90" s="111"/>
      <c r="P90" s="112"/>
      <c r="Q90" s="113"/>
      <c r="R90" s="114"/>
      <c r="S90" s="112"/>
      <c r="T90" s="115"/>
      <c r="Y90" s="106"/>
    </row>
    <row r="91" spans="2:25" x14ac:dyDescent="0.3">
      <c r="B91" s="131"/>
      <c r="C91" s="107"/>
      <c r="D91" s="107"/>
      <c r="E91" s="108"/>
      <c r="F91" s="109"/>
      <c r="G91" s="109"/>
      <c r="H91" s="107"/>
      <c r="M91" s="101" t="str">
        <f t="shared" si="1"/>
        <v>----&gt;</v>
      </c>
      <c r="N91" s="130"/>
      <c r="O91" s="111"/>
      <c r="P91" s="112"/>
      <c r="Q91" s="113"/>
      <c r="R91" s="114"/>
      <c r="S91" s="112"/>
      <c r="T91" s="115"/>
      <c r="Y91" s="106"/>
    </row>
    <row r="92" spans="2:25" x14ac:dyDescent="0.3">
      <c r="B92" s="131"/>
      <c r="C92" s="107"/>
      <c r="D92" s="107"/>
      <c r="E92" s="108"/>
      <c r="F92" s="109"/>
      <c r="G92" s="109"/>
      <c r="H92" s="107"/>
      <c r="M92" s="101" t="str">
        <f t="shared" si="1"/>
        <v>----&gt;</v>
      </c>
      <c r="N92" s="130"/>
      <c r="O92" s="111"/>
      <c r="P92" s="112"/>
      <c r="Q92" s="113"/>
      <c r="R92" s="114"/>
      <c r="S92" s="112"/>
      <c r="T92" s="115"/>
      <c r="Y92" s="106"/>
    </row>
    <row r="93" spans="2:25" x14ac:dyDescent="0.3">
      <c r="B93" s="131"/>
      <c r="C93" s="107"/>
      <c r="D93" s="107"/>
      <c r="E93" s="108"/>
      <c r="F93" s="109"/>
      <c r="G93" s="109"/>
      <c r="H93" s="107"/>
      <c r="M93" s="101" t="str">
        <f t="shared" si="1"/>
        <v>----&gt;</v>
      </c>
      <c r="N93" s="130"/>
      <c r="O93" s="111"/>
      <c r="P93" s="112"/>
      <c r="Q93" s="113"/>
      <c r="R93" s="114"/>
      <c r="S93" s="112"/>
      <c r="T93" s="115"/>
      <c r="Y93" s="106"/>
    </row>
    <row r="94" spans="2:25" x14ac:dyDescent="0.3">
      <c r="B94" s="131"/>
      <c r="C94" s="107"/>
      <c r="D94" s="107"/>
      <c r="E94" s="108"/>
      <c r="F94" s="109"/>
      <c r="G94" s="109"/>
      <c r="H94" s="107"/>
      <c r="M94" s="101" t="str">
        <f t="shared" si="1"/>
        <v>----&gt;</v>
      </c>
      <c r="N94" s="130"/>
      <c r="O94" s="111"/>
      <c r="P94" s="112"/>
      <c r="Q94" s="113"/>
      <c r="R94" s="114"/>
      <c r="S94" s="112"/>
      <c r="T94" s="115"/>
      <c r="Y94" s="106"/>
    </row>
    <row r="95" spans="2:25" x14ac:dyDescent="0.3">
      <c r="B95" s="131"/>
      <c r="C95" s="107"/>
      <c r="D95" s="107"/>
      <c r="E95" s="108"/>
      <c r="F95" s="109"/>
      <c r="G95" s="109"/>
      <c r="H95" s="107"/>
      <c r="M95" s="101" t="str">
        <f t="shared" si="1"/>
        <v>----&gt;</v>
      </c>
      <c r="N95" s="130"/>
      <c r="O95" s="111"/>
      <c r="P95" s="112"/>
      <c r="Q95" s="113"/>
      <c r="R95" s="114"/>
      <c r="S95" s="112"/>
      <c r="T95" s="115"/>
      <c r="Y95" s="106"/>
    </row>
    <row r="96" spans="2:25" x14ac:dyDescent="0.3">
      <c r="B96" s="131"/>
      <c r="C96" s="107"/>
      <c r="D96" s="107"/>
      <c r="E96" s="108"/>
      <c r="F96" s="109"/>
      <c r="G96" s="109"/>
      <c r="H96" s="107"/>
      <c r="M96" s="101" t="str">
        <f t="shared" si="1"/>
        <v>----&gt;</v>
      </c>
      <c r="N96" s="130"/>
      <c r="O96" s="111"/>
      <c r="P96" s="112"/>
      <c r="Q96" s="113"/>
      <c r="R96" s="114"/>
      <c r="S96" s="112"/>
      <c r="T96" s="115"/>
      <c r="Y96" s="106"/>
    </row>
    <row r="97" spans="2:25" x14ac:dyDescent="0.3">
      <c r="B97" s="131"/>
      <c r="C97" s="107"/>
      <c r="D97" s="107"/>
      <c r="E97" s="108"/>
      <c r="F97" s="109"/>
      <c r="G97" s="109"/>
      <c r="H97" s="107"/>
      <c r="M97" s="101" t="str">
        <f t="shared" si="1"/>
        <v>----&gt;</v>
      </c>
      <c r="N97" s="130"/>
      <c r="O97" s="111"/>
      <c r="P97" s="112"/>
      <c r="Q97" s="113"/>
      <c r="R97" s="114"/>
      <c r="S97" s="112"/>
      <c r="T97" s="115"/>
      <c r="Y97" s="106"/>
    </row>
    <row r="98" spans="2:25" x14ac:dyDescent="0.3">
      <c r="B98" s="131"/>
      <c r="C98" s="107"/>
      <c r="D98" s="107"/>
      <c r="E98" s="108"/>
      <c r="F98" s="109"/>
      <c r="G98" s="109"/>
      <c r="H98" s="107"/>
      <c r="M98" s="101" t="str">
        <f t="shared" si="1"/>
        <v>----&gt;</v>
      </c>
      <c r="N98" s="130"/>
      <c r="O98" s="111"/>
      <c r="P98" s="112"/>
      <c r="Q98" s="113"/>
      <c r="R98" s="114"/>
      <c r="S98" s="112"/>
      <c r="T98" s="115"/>
      <c r="Y98" s="106"/>
    </row>
    <row r="99" spans="2:25" x14ac:dyDescent="0.3">
      <c r="B99" s="131"/>
      <c r="C99" s="107"/>
      <c r="D99" s="107"/>
      <c r="E99" s="108"/>
      <c r="F99" s="109"/>
      <c r="G99" s="109"/>
      <c r="H99" s="107"/>
      <c r="M99" s="101" t="str">
        <f t="shared" si="1"/>
        <v>----&gt;</v>
      </c>
      <c r="N99" s="130"/>
      <c r="O99" s="111"/>
      <c r="P99" s="112"/>
      <c r="Q99" s="113"/>
      <c r="R99" s="114"/>
      <c r="S99" s="112"/>
      <c r="T99" s="115"/>
      <c r="Y99" s="106"/>
    </row>
    <row r="100" spans="2:25" x14ac:dyDescent="0.3">
      <c r="B100" s="131"/>
      <c r="C100" s="107"/>
      <c r="D100" s="107"/>
      <c r="E100" s="108"/>
      <c r="F100" s="109"/>
      <c r="G100" s="109"/>
      <c r="H100" s="107"/>
      <c r="M100" s="101" t="str">
        <f t="shared" si="1"/>
        <v>----&gt;</v>
      </c>
      <c r="N100" s="130"/>
      <c r="O100" s="111"/>
      <c r="P100" s="112"/>
      <c r="Q100" s="113"/>
      <c r="R100" s="114"/>
      <c r="S100" s="112"/>
      <c r="T100" s="115"/>
      <c r="Y100" s="106"/>
    </row>
    <row r="101" spans="2:25" x14ac:dyDescent="0.3">
      <c r="B101" s="131"/>
      <c r="C101" s="107"/>
      <c r="D101" s="107"/>
      <c r="E101" s="108"/>
      <c r="F101" s="109"/>
      <c r="G101" s="109"/>
      <c r="H101" s="107"/>
      <c r="M101" s="101" t="str">
        <f t="shared" si="1"/>
        <v>----&gt;</v>
      </c>
      <c r="N101" s="130"/>
      <c r="O101" s="111"/>
      <c r="P101" s="112"/>
      <c r="Q101" s="113"/>
      <c r="R101" s="114"/>
      <c r="S101" s="112"/>
      <c r="T101" s="115"/>
      <c r="Y101" s="106"/>
    </row>
    <row r="102" spans="2:25" x14ac:dyDescent="0.3">
      <c r="B102" s="131"/>
      <c r="C102" s="107"/>
      <c r="D102" s="107"/>
      <c r="E102" s="108"/>
      <c r="F102" s="109"/>
      <c r="G102" s="109"/>
      <c r="H102" s="107"/>
      <c r="M102" s="101" t="str">
        <f t="shared" si="1"/>
        <v>----&gt;</v>
      </c>
      <c r="N102" s="130"/>
      <c r="O102" s="111"/>
      <c r="P102" s="112"/>
      <c r="Q102" s="113"/>
      <c r="R102" s="114"/>
      <c r="S102" s="112"/>
      <c r="T102" s="115"/>
      <c r="Y102" s="106"/>
    </row>
    <row r="103" spans="2:25" x14ac:dyDescent="0.3">
      <c r="B103" s="131"/>
      <c r="C103" s="107"/>
      <c r="D103" s="107"/>
      <c r="E103" s="108"/>
      <c r="F103" s="109"/>
      <c r="G103" s="109"/>
      <c r="H103" s="107"/>
      <c r="M103" s="101" t="str">
        <f t="shared" si="1"/>
        <v>----&gt;</v>
      </c>
      <c r="N103" s="130"/>
      <c r="O103" s="111"/>
      <c r="P103" s="112"/>
      <c r="Q103" s="113"/>
      <c r="R103" s="114"/>
      <c r="S103" s="112"/>
      <c r="T103" s="115"/>
      <c r="Y103" s="106"/>
    </row>
    <row r="104" spans="2:25" x14ac:dyDescent="0.3">
      <c r="B104" s="131"/>
      <c r="C104" s="107"/>
      <c r="D104" s="107"/>
      <c r="E104" s="108"/>
      <c r="F104" s="109"/>
      <c r="G104" s="109"/>
      <c r="H104" s="107"/>
      <c r="M104" s="101" t="str">
        <f t="shared" si="1"/>
        <v>----&gt;</v>
      </c>
      <c r="N104" s="130"/>
      <c r="O104" s="111"/>
      <c r="P104" s="112"/>
      <c r="Q104" s="113"/>
      <c r="R104" s="114"/>
      <c r="S104" s="112"/>
      <c r="T104" s="115"/>
      <c r="Y104" s="106"/>
    </row>
    <row r="105" spans="2:25" x14ac:dyDescent="0.3">
      <c r="B105" s="131"/>
      <c r="C105" s="107"/>
      <c r="D105" s="107"/>
      <c r="E105" s="108"/>
      <c r="F105" s="109"/>
      <c r="G105" s="109"/>
      <c r="H105" s="107"/>
      <c r="M105" s="101" t="str">
        <f t="shared" si="1"/>
        <v>----&gt;</v>
      </c>
      <c r="N105" s="130"/>
      <c r="O105" s="111"/>
      <c r="P105" s="112"/>
      <c r="Q105" s="113"/>
      <c r="R105" s="114"/>
      <c r="S105" s="112"/>
      <c r="T105" s="115"/>
      <c r="Y105" s="106"/>
    </row>
    <row r="106" spans="2:25" x14ac:dyDescent="0.3">
      <c r="B106" s="131"/>
      <c r="C106" s="107"/>
      <c r="D106" s="107"/>
      <c r="E106" s="108"/>
      <c r="F106" s="109"/>
      <c r="G106" s="109"/>
      <c r="H106" s="107"/>
      <c r="M106" s="101" t="str">
        <f t="shared" si="1"/>
        <v>----&gt;</v>
      </c>
      <c r="N106" s="130"/>
      <c r="O106" s="111"/>
      <c r="P106" s="112"/>
      <c r="Q106" s="113"/>
      <c r="R106" s="114"/>
      <c r="S106" s="112"/>
      <c r="T106" s="115"/>
      <c r="Y106" s="106"/>
    </row>
    <row r="107" spans="2:25" x14ac:dyDescent="0.3">
      <c r="B107" s="131"/>
      <c r="C107" s="107"/>
      <c r="D107" s="107"/>
      <c r="E107" s="108"/>
      <c r="F107" s="109"/>
      <c r="G107" s="109"/>
      <c r="H107" s="107"/>
      <c r="M107" s="101" t="str">
        <f t="shared" si="1"/>
        <v>----&gt;</v>
      </c>
      <c r="N107" s="130"/>
      <c r="O107" s="111"/>
      <c r="P107" s="112"/>
      <c r="Q107" s="113"/>
      <c r="R107" s="114"/>
      <c r="S107" s="112"/>
      <c r="T107" s="115"/>
      <c r="Y107" s="106"/>
    </row>
    <row r="108" spans="2:25" x14ac:dyDescent="0.3">
      <c r="B108" s="131"/>
      <c r="C108" s="107"/>
      <c r="D108" s="107"/>
      <c r="E108" s="108"/>
      <c r="F108" s="109"/>
      <c r="G108" s="109"/>
      <c r="H108" s="107"/>
      <c r="M108" s="101" t="str">
        <f t="shared" si="1"/>
        <v>----&gt;</v>
      </c>
      <c r="N108" s="130"/>
      <c r="O108" s="111"/>
      <c r="P108" s="112"/>
      <c r="Q108" s="113"/>
      <c r="R108" s="114"/>
      <c r="S108" s="112"/>
      <c r="T108" s="115"/>
      <c r="Y108" s="106"/>
    </row>
    <row r="109" spans="2:25" x14ac:dyDescent="0.3">
      <c r="B109" s="131"/>
      <c r="C109" s="107"/>
      <c r="D109" s="107"/>
      <c r="E109" s="108"/>
      <c r="F109" s="109"/>
      <c r="G109" s="109"/>
      <c r="H109" s="107"/>
      <c r="M109" s="101" t="str">
        <f t="shared" si="1"/>
        <v>----&gt;</v>
      </c>
      <c r="N109" s="130"/>
      <c r="O109" s="111"/>
      <c r="P109" s="112"/>
      <c r="Q109" s="113"/>
      <c r="R109" s="114"/>
      <c r="S109" s="112"/>
      <c r="T109" s="115"/>
      <c r="Y109" s="106"/>
    </row>
    <row r="110" spans="2:25" x14ac:dyDescent="0.3">
      <c r="B110" s="131"/>
      <c r="C110" s="107"/>
      <c r="D110" s="107"/>
      <c r="E110" s="108"/>
      <c r="F110" s="109"/>
      <c r="G110" s="109"/>
      <c r="H110" s="107"/>
      <c r="M110" s="101" t="str">
        <f t="shared" si="1"/>
        <v>----&gt;</v>
      </c>
      <c r="N110" s="130"/>
      <c r="O110" s="111"/>
      <c r="P110" s="112"/>
      <c r="Q110" s="113"/>
      <c r="R110" s="114"/>
      <c r="S110" s="112"/>
      <c r="T110" s="115"/>
      <c r="Y110" s="106"/>
    </row>
    <row r="111" spans="2:25" x14ac:dyDescent="0.3">
      <c r="B111" s="131"/>
      <c r="C111" s="107"/>
      <c r="D111" s="107"/>
      <c r="E111" s="108"/>
      <c r="F111" s="109"/>
      <c r="G111" s="109"/>
      <c r="H111" s="107"/>
      <c r="M111" s="101" t="str">
        <f t="shared" si="1"/>
        <v>----&gt;</v>
      </c>
      <c r="N111" s="130"/>
      <c r="O111" s="111"/>
      <c r="P111" s="112"/>
      <c r="Q111" s="113"/>
      <c r="R111" s="114"/>
      <c r="S111" s="112"/>
      <c r="T111" s="115"/>
      <c r="Y111" s="106"/>
    </row>
    <row r="112" spans="2:25" x14ac:dyDescent="0.3">
      <c r="B112" s="131"/>
      <c r="C112" s="107"/>
      <c r="D112" s="107"/>
      <c r="E112" s="108"/>
      <c r="F112" s="109"/>
      <c r="G112" s="109"/>
      <c r="H112" s="107"/>
      <c r="M112" s="101" t="str">
        <f t="shared" si="1"/>
        <v>----&gt;</v>
      </c>
      <c r="N112" s="130"/>
      <c r="O112" s="111"/>
      <c r="P112" s="112"/>
      <c r="Q112" s="113"/>
      <c r="R112" s="114"/>
      <c r="S112" s="112"/>
      <c r="T112" s="115"/>
      <c r="Y112" s="106"/>
    </row>
    <row r="113" spans="2:25" x14ac:dyDescent="0.3">
      <c r="B113" s="131"/>
      <c r="C113" s="107"/>
      <c r="D113" s="107"/>
      <c r="E113" s="108"/>
      <c r="F113" s="109"/>
      <c r="G113" s="109"/>
      <c r="H113" s="107"/>
      <c r="M113" s="101" t="str">
        <f t="shared" si="1"/>
        <v>----&gt;</v>
      </c>
      <c r="N113" s="130"/>
      <c r="O113" s="111"/>
      <c r="P113" s="112"/>
      <c r="Q113" s="113"/>
      <c r="R113" s="114"/>
      <c r="S113" s="112"/>
      <c r="T113" s="115"/>
      <c r="Y113" s="106"/>
    </row>
    <row r="114" spans="2:25" x14ac:dyDescent="0.3">
      <c r="B114" s="131"/>
      <c r="C114" s="107"/>
      <c r="D114" s="107"/>
      <c r="E114" s="108"/>
      <c r="F114" s="109"/>
      <c r="G114" s="109"/>
      <c r="H114" s="107"/>
      <c r="M114" s="101" t="str">
        <f t="shared" si="1"/>
        <v>----&gt;</v>
      </c>
      <c r="N114" s="130"/>
      <c r="O114" s="111"/>
      <c r="P114" s="112"/>
      <c r="Q114" s="113"/>
      <c r="R114" s="114"/>
      <c r="S114" s="112"/>
      <c r="T114" s="115"/>
      <c r="Y114" s="106"/>
    </row>
    <row r="115" spans="2:25" x14ac:dyDescent="0.3">
      <c r="B115" s="131"/>
      <c r="C115" s="107"/>
      <c r="D115" s="107"/>
      <c r="E115" s="108"/>
      <c r="F115" s="109"/>
      <c r="G115" s="109"/>
      <c r="H115" s="107"/>
      <c r="M115" s="101" t="str">
        <f t="shared" si="1"/>
        <v>----&gt;</v>
      </c>
      <c r="N115" s="130"/>
      <c r="O115" s="111"/>
      <c r="P115" s="112"/>
      <c r="Q115" s="113"/>
      <c r="R115" s="114"/>
      <c r="S115" s="112"/>
      <c r="T115" s="115"/>
      <c r="Y115" s="106"/>
    </row>
    <row r="116" spans="2:25" x14ac:dyDescent="0.3">
      <c r="B116" s="131"/>
      <c r="C116" s="107"/>
      <c r="D116" s="107"/>
      <c r="E116" s="108"/>
      <c r="F116" s="109"/>
      <c r="G116" s="109"/>
      <c r="H116" s="107"/>
      <c r="M116" s="101" t="str">
        <f t="shared" si="1"/>
        <v>----&gt;</v>
      </c>
      <c r="N116" s="130"/>
      <c r="O116" s="111"/>
      <c r="P116" s="112"/>
      <c r="Q116" s="113"/>
      <c r="R116" s="114"/>
      <c r="S116" s="112"/>
      <c r="T116" s="115"/>
      <c r="Y116" s="106"/>
    </row>
    <row r="117" spans="2:25" x14ac:dyDescent="0.3">
      <c r="B117" s="131"/>
      <c r="C117" s="107"/>
      <c r="D117" s="107"/>
      <c r="E117" s="108"/>
      <c r="F117" s="109"/>
      <c r="G117" s="109"/>
      <c r="H117" s="107"/>
      <c r="M117" s="101" t="str">
        <f t="shared" si="1"/>
        <v>----&gt;</v>
      </c>
      <c r="N117" s="130"/>
      <c r="O117" s="111"/>
      <c r="P117" s="112"/>
      <c r="Q117" s="113"/>
      <c r="R117" s="114"/>
      <c r="S117" s="112"/>
      <c r="T117" s="115"/>
      <c r="Y117" s="106"/>
    </row>
    <row r="118" spans="2:25" x14ac:dyDescent="0.3">
      <c r="B118" s="131"/>
      <c r="C118" s="107"/>
      <c r="D118" s="107"/>
      <c r="E118" s="108"/>
      <c r="F118" s="109"/>
      <c r="G118" s="109"/>
      <c r="H118" s="107"/>
      <c r="M118" s="101" t="str">
        <f t="shared" si="1"/>
        <v>----&gt;</v>
      </c>
      <c r="N118" s="130"/>
      <c r="O118" s="111"/>
      <c r="P118" s="112"/>
      <c r="Q118" s="113"/>
      <c r="R118" s="114"/>
      <c r="S118" s="112"/>
      <c r="T118" s="115"/>
      <c r="Y118" s="106"/>
    </row>
    <row r="119" spans="2:25" x14ac:dyDescent="0.3">
      <c r="B119" s="131"/>
      <c r="C119" s="107"/>
      <c r="D119" s="107"/>
      <c r="E119" s="108"/>
      <c r="F119" s="109"/>
      <c r="G119" s="109"/>
      <c r="H119" s="107"/>
      <c r="M119" s="101" t="str">
        <f t="shared" si="1"/>
        <v>----&gt;</v>
      </c>
      <c r="N119" s="130"/>
      <c r="O119" s="111"/>
      <c r="P119" s="112"/>
      <c r="Q119" s="113"/>
      <c r="R119" s="114"/>
      <c r="S119" s="112"/>
      <c r="T119" s="115"/>
      <c r="Y119" s="106"/>
    </row>
    <row r="120" spans="2:25" x14ac:dyDescent="0.3">
      <c r="B120" s="131"/>
      <c r="C120" s="107"/>
      <c r="D120" s="107"/>
      <c r="E120" s="108"/>
      <c r="F120" s="109"/>
      <c r="G120" s="109"/>
      <c r="H120" s="107"/>
      <c r="M120" s="101" t="str">
        <f t="shared" si="1"/>
        <v>----&gt;</v>
      </c>
      <c r="N120" s="130"/>
      <c r="O120" s="111"/>
      <c r="P120" s="112"/>
      <c r="Q120" s="113"/>
      <c r="R120" s="114"/>
      <c r="S120" s="112"/>
      <c r="T120" s="115"/>
      <c r="Y120" s="106"/>
    </row>
    <row r="121" spans="2:25" x14ac:dyDescent="0.3">
      <c r="B121" s="131"/>
      <c r="C121" s="107"/>
      <c r="D121" s="107"/>
      <c r="E121" s="108"/>
      <c r="F121" s="109"/>
      <c r="G121" s="109"/>
      <c r="H121" s="107"/>
      <c r="M121" s="101" t="str">
        <f t="shared" si="1"/>
        <v>----&gt;</v>
      </c>
      <c r="N121" s="130"/>
      <c r="O121" s="111"/>
      <c r="P121" s="112"/>
      <c r="Q121" s="113"/>
      <c r="R121" s="114"/>
      <c r="S121" s="112"/>
      <c r="T121" s="115"/>
      <c r="Y121" s="106"/>
    </row>
    <row r="122" spans="2:25" x14ac:dyDescent="0.3">
      <c r="B122" s="131"/>
      <c r="C122" s="107"/>
      <c r="D122" s="107"/>
      <c r="E122" s="108"/>
      <c r="F122" s="109"/>
      <c r="G122" s="109"/>
      <c r="H122" s="107"/>
      <c r="M122" s="101" t="str">
        <f t="shared" si="1"/>
        <v>----&gt;</v>
      </c>
      <c r="N122" s="130"/>
      <c r="O122" s="111"/>
      <c r="P122" s="112"/>
      <c r="Q122" s="113"/>
      <c r="R122" s="114"/>
      <c r="S122" s="112"/>
      <c r="T122" s="115"/>
      <c r="Y122" s="106"/>
    </row>
    <row r="123" spans="2:25" x14ac:dyDescent="0.3">
      <c r="B123" s="131"/>
      <c r="C123" s="107"/>
      <c r="D123" s="107"/>
      <c r="E123" s="108"/>
      <c r="F123" s="109"/>
      <c r="G123" s="109"/>
      <c r="H123" s="107"/>
      <c r="M123" s="101" t="str">
        <f t="shared" si="1"/>
        <v>----&gt;</v>
      </c>
      <c r="N123" s="130"/>
      <c r="O123" s="111"/>
      <c r="P123" s="112"/>
      <c r="Q123" s="113"/>
      <c r="R123" s="114"/>
      <c r="S123" s="112"/>
      <c r="T123" s="115"/>
      <c r="Y123" s="106"/>
    </row>
    <row r="124" spans="2:25" x14ac:dyDescent="0.3">
      <c r="B124" s="131"/>
      <c r="C124" s="107"/>
      <c r="D124" s="107"/>
      <c r="E124" s="108"/>
      <c r="F124" s="109"/>
      <c r="G124" s="109"/>
      <c r="H124" s="107"/>
      <c r="M124" s="101" t="str">
        <f t="shared" si="1"/>
        <v>----&gt;</v>
      </c>
      <c r="N124" s="130"/>
      <c r="O124" s="111"/>
      <c r="P124" s="112"/>
      <c r="Q124" s="113"/>
      <c r="R124" s="114"/>
      <c r="S124" s="112"/>
      <c r="T124" s="115"/>
      <c r="Y124" s="106"/>
    </row>
    <row r="125" spans="2:25" x14ac:dyDescent="0.3">
      <c r="B125" s="131"/>
      <c r="C125" s="107"/>
      <c r="D125" s="107"/>
      <c r="E125" s="108"/>
      <c r="F125" s="109"/>
      <c r="G125" s="109"/>
      <c r="H125" s="107"/>
      <c r="M125" s="101" t="str">
        <f t="shared" si="1"/>
        <v>----&gt;</v>
      </c>
      <c r="N125" s="130"/>
      <c r="O125" s="111"/>
      <c r="P125" s="112"/>
      <c r="Q125" s="113"/>
      <c r="R125" s="114"/>
      <c r="S125" s="112"/>
      <c r="T125" s="115"/>
      <c r="Y125" s="106"/>
    </row>
    <row r="126" spans="2:25" x14ac:dyDescent="0.3">
      <c r="B126" s="131"/>
      <c r="C126" s="107"/>
      <c r="D126" s="107"/>
      <c r="E126" s="108"/>
      <c r="F126" s="109"/>
      <c r="G126" s="109"/>
      <c r="H126" s="107"/>
      <c r="M126" s="101" t="str">
        <f t="shared" si="1"/>
        <v>----&gt;</v>
      </c>
      <c r="N126" s="130"/>
      <c r="O126" s="111"/>
      <c r="P126" s="112"/>
      <c r="Q126" s="113"/>
      <c r="R126" s="114"/>
      <c r="S126" s="112"/>
      <c r="T126" s="115"/>
      <c r="Y126" s="106"/>
    </row>
    <row r="127" spans="2:25" x14ac:dyDescent="0.3">
      <c r="B127" s="131"/>
      <c r="C127" s="107"/>
      <c r="D127" s="107"/>
      <c r="E127" s="108"/>
      <c r="F127" s="109"/>
      <c r="G127" s="109"/>
      <c r="H127" s="107"/>
      <c r="M127" s="101" t="str">
        <f t="shared" si="1"/>
        <v>----&gt;</v>
      </c>
      <c r="N127" s="130"/>
      <c r="O127" s="111"/>
      <c r="P127" s="112"/>
      <c r="Q127" s="113"/>
      <c r="R127" s="114"/>
      <c r="S127" s="112"/>
      <c r="T127" s="115"/>
      <c r="Y127" s="106"/>
    </row>
    <row r="128" spans="2:25" x14ac:dyDescent="0.3">
      <c r="B128" s="131"/>
      <c r="C128" s="107"/>
      <c r="D128" s="107"/>
      <c r="E128" s="108"/>
      <c r="F128" s="109"/>
      <c r="G128" s="109"/>
      <c r="H128" s="107"/>
      <c r="M128" s="101" t="str">
        <f t="shared" si="1"/>
        <v>----&gt;</v>
      </c>
      <c r="N128" s="130"/>
      <c r="O128" s="111"/>
      <c r="P128" s="112"/>
      <c r="Q128" s="113"/>
      <c r="R128" s="114"/>
      <c r="S128" s="112"/>
      <c r="T128" s="115"/>
      <c r="Y128" s="106"/>
    </row>
    <row r="129" spans="2:25" x14ac:dyDescent="0.3">
      <c r="B129" s="131"/>
      <c r="C129" s="107"/>
      <c r="D129" s="107"/>
      <c r="E129" s="108"/>
      <c r="F129" s="109"/>
      <c r="G129" s="109"/>
      <c r="H129" s="107"/>
      <c r="M129" s="101" t="str">
        <f t="shared" si="1"/>
        <v>----&gt;</v>
      </c>
      <c r="N129" s="130"/>
      <c r="O129" s="111"/>
      <c r="P129" s="112"/>
      <c r="Q129" s="113"/>
      <c r="R129" s="114"/>
      <c r="S129" s="112"/>
      <c r="T129" s="115"/>
      <c r="Y129" s="106"/>
    </row>
    <row r="130" spans="2:25" x14ac:dyDescent="0.3">
      <c r="B130" s="131"/>
      <c r="C130" s="107"/>
      <c r="D130" s="107"/>
      <c r="E130" s="108"/>
      <c r="F130" s="109"/>
      <c r="G130" s="109"/>
      <c r="H130" s="107"/>
      <c r="M130" s="101" t="str">
        <f t="shared" si="1"/>
        <v>----&gt;</v>
      </c>
      <c r="N130" s="130"/>
      <c r="O130" s="111"/>
      <c r="P130" s="112"/>
      <c r="Q130" s="113"/>
      <c r="R130" s="114"/>
      <c r="S130" s="112"/>
      <c r="T130" s="115"/>
      <c r="Y130" s="106"/>
    </row>
    <row r="131" spans="2:25" x14ac:dyDescent="0.3">
      <c r="B131" s="131"/>
      <c r="C131" s="107"/>
      <c r="D131" s="107"/>
      <c r="E131" s="108"/>
      <c r="F131" s="109"/>
      <c r="G131" s="109"/>
      <c r="H131" s="107"/>
      <c r="M131" s="101" t="str">
        <f t="shared" si="1"/>
        <v>----&gt;</v>
      </c>
      <c r="N131" s="130"/>
      <c r="O131" s="111"/>
      <c r="P131" s="112"/>
      <c r="Q131" s="113"/>
      <c r="R131" s="114"/>
      <c r="S131" s="112"/>
      <c r="T131" s="115"/>
      <c r="Y131" s="106"/>
    </row>
    <row r="132" spans="2:25" x14ac:dyDescent="0.3">
      <c r="B132" s="131"/>
      <c r="C132" s="107"/>
      <c r="D132" s="107"/>
      <c r="E132" s="108"/>
      <c r="F132" s="109"/>
      <c r="G132" s="109"/>
      <c r="H132" s="107"/>
      <c r="M132" s="101" t="str">
        <f t="shared" ref="M132:M195" si="2">"----&gt;"</f>
        <v>----&gt;</v>
      </c>
      <c r="N132" s="130"/>
      <c r="O132" s="111"/>
      <c r="P132" s="112"/>
      <c r="Q132" s="113"/>
      <c r="R132" s="114"/>
      <c r="S132" s="112"/>
      <c r="T132" s="115"/>
      <c r="Y132" s="106"/>
    </row>
    <row r="133" spans="2:25" x14ac:dyDescent="0.3">
      <c r="B133" s="131"/>
      <c r="C133" s="107"/>
      <c r="D133" s="107"/>
      <c r="E133" s="108"/>
      <c r="F133" s="109"/>
      <c r="G133" s="109"/>
      <c r="H133" s="107"/>
      <c r="M133" s="101" t="str">
        <f t="shared" si="2"/>
        <v>----&gt;</v>
      </c>
      <c r="N133" s="130"/>
      <c r="O133" s="111"/>
      <c r="P133" s="112"/>
      <c r="Q133" s="113"/>
      <c r="R133" s="114"/>
      <c r="S133" s="112"/>
      <c r="T133" s="115"/>
      <c r="Y133" s="106"/>
    </row>
    <row r="134" spans="2:25" x14ac:dyDescent="0.3">
      <c r="B134" s="131"/>
      <c r="C134" s="107"/>
      <c r="D134" s="107"/>
      <c r="E134" s="108"/>
      <c r="F134" s="109"/>
      <c r="G134" s="109"/>
      <c r="H134" s="107"/>
      <c r="M134" s="101" t="str">
        <f t="shared" si="2"/>
        <v>----&gt;</v>
      </c>
      <c r="N134" s="130"/>
      <c r="O134" s="111"/>
      <c r="P134" s="112"/>
      <c r="Q134" s="113"/>
      <c r="R134" s="114"/>
      <c r="S134" s="112"/>
      <c r="T134" s="115"/>
      <c r="Y134" s="106"/>
    </row>
    <row r="135" spans="2:25" x14ac:dyDescent="0.3">
      <c r="B135" s="131"/>
      <c r="C135" s="107"/>
      <c r="D135" s="107"/>
      <c r="E135" s="108"/>
      <c r="F135" s="109"/>
      <c r="G135" s="109"/>
      <c r="H135" s="107"/>
      <c r="M135" s="101" t="str">
        <f t="shared" si="2"/>
        <v>----&gt;</v>
      </c>
      <c r="N135" s="130"/>
      <c r="O135" s="111"/>
      <c r="P135" s="112"/>
      <c r="Q135" s="113"/>
      <c r="R135" s="114"/>
      <c r="S135" s="112"/>
      <c r="T135" s="115"/>
      <c r="Y135" s="106"/>
    </row>
    <row r="136" spans="2:25" x14ac:dyDescent="0.3">
      <c r="B136" s="131"/>
      <c r="C136" s="107"/>
      <c r="D136" s="107"/>
      <c r="E136" s="108"/>
      <c r="F136" s="109"/>
      <c r="G136" s="109"/>
      <c r="H136" s="107"/>
      <c r="M136" s="101" t="str">
        <f t="shared" si="2"/>
        <v>----&gt;</v>
      </c>
      <c r="N136" s="130"/>
      <c r="O136" s="111"/>
      <c r="P136" s="112"/>
      <c r="Q136" s="113"/>
      <c r="R136" s="114"/>
      <c r="S136" s="112"/>
      <c r="T136" s="115"/>
      <c r="Y136" s="106"/>
    </row>
    <row r="137" spans="2:25" x14ac:dyDescent="0.3">
      <c r="B137" s="131"/>
      <c r="C137" s="107"/>
      <c r="D137" s="107"/>
      <c r="E137" s="108"/>
      <c r="F137" s="109"/>
      <c r="G137" s="109"/>
      <c r="H137" s="107"/>
      <c r="M137" s="101" t="str">
        <f t="shared" si="2"/>
        <v>----&gt;</v>
      </c>
      <c r="N137" s="130"/>
      <c r="O137" s="111"/>
      <c r="P137" s="112"/>
      <c r="Q137" s="113"/>
      <c r="R137" s="114"/>
      <c r="S137" s="112"/>
      <c r="T137" s="115"/>
      <c r="Y137" s="106"/>
    </row>
    <row r="138" spans="2:25" x14ac:dyDescent="0.3">
      <c r="B138" s="131"/>
      <c r="C138" s="107"/>
      <c r="D138" s="107"/>
      <c r="E138" s="108"/>
      <c r="F138" s="109"/>
      <c r="G138" s="109"/>
      <c r="H138" s="107"/>
      <c r="M138" s="101" t="str">
        <f t="shared" si="2"/>
        <v>----&gt;</v>
      </c>
      <c r="N138" s="130"/>
      <c r="O138" s="111"/>
      <c r="P138" s="112"/>
      <c r="Q138" s="113"/>
      <c r="R138" s="114"/>
      <c r="S138" s="112"/>
      <c r="T138" s="115"/>
      <c r="Y138" s="106"/>
    </row>
    <row r="139" spans="2:25" x14ac:dyDescent="0.3">
      <c r="B139" s="131"/>
      <c r="C139" s="107"/>
      <c r="D139" s="107"/>
      <c r="E139" s="108"/>
      <c r="F139" s="109"/>
      <c r="G139" s="109"/>
      <c r="H139" s="107"/>
      <c r="M139" s="101" t="str">
        <f t="shared" si="2"/>
        <v>----&gt;</v>
      </c>
      <c r="N139" s="130"/>
      <c r="O139" s="111"/>
      <c r="P139" s="112"/>
      <c r="Q139" s="113"/>
      <c r="R139" s="114"/>
      <c r="S139" s="112"/>
      <c r="T139" s="115"/>
      <c r="Y139" s="106"/>
    </row>
    <row r="140" spans="2:25" x14ac:dyDescent="0.3">
      <c r="B140" s="131"/>
      <c r="C140" s="107"/>
      <c r="D140" s="107"/>
      <c r="E140" s="108"/>
      <c r="F140" s="109"/>
      <c r="G140" s="109"/>
      <c r="H140" s="107"/>
      <c r="M140" s="101" t="str">
        <f t="shared" si="2"/>
        <v>----&gt;</v>
      </c>
      <c r="N140" s="130"/>
      <c r="O140" s="111"/>
      <c r="P140" s="112"/>
      <c r="Q140" s="113"/>
      <c r="R140" s="114"/>
      <c r="S140" s="112"/>
      <c r="T140" s="115"/>
      <c r="Y140" s="106"/>
    </row>
    <row r="141" spans="2:25" x14ac:dyDescent="0.3">
      <c r="B141" s="131"/>
      <c r="C141" s="107"/>
      <c r="D141" s="107"/>
      <c r="E141" s="108"/>
      <c r="F141" s="109"/>
      <c r="G141" s="109"/>
      <c r="H141" s="107"/>
      <c r="M141" s="101" t="str">
        <f t="shared" si="2"/>
        <v>----&gt;</v>
      </c>
      <c r="N141" s="130"/>
      <c r="O141" s="111"/>
      <c r="P141" s="112"/>
      <c r="Q141" s="113"/>
      <c r="R141" s="114"/>
      <c r="S141" s="112"/>
      <c r="T141" s="115"/>
      <c r="Y141" s="106"/>
    </row>
    <row r="142" spans="2:25" x14ac:dyDescent="0.3">
      <c r="B142" s="131"/>
      <c r="C142" s="107"/>
      <c r="D142" s="107"/>
      <c r="E142" s="108"/>
      <c r="F142" s="109"/>
      <c r="G142" s="109"/>
      <c r="H142" s="107"/>
      <c r="M142" s="101" t="str">
        <f t="shared" si="2"/>
        <v>----&gt;</v>
      </c>
      <c r="N142" s="130"/>
      <c r="O142" s="111"/>
      <c r="P142" s="112"/>
      <c r="Q142" s="113"/>
      <c r="R142" s="114"/>
      <c r="S142" s="112"/>
      <c r="T142" s="115"/>
      <c r="Y142" s="106"/>
    </row>
    <row r="143" spans="2:25" x14ac:dyDescent="0.3">
      <c r="B143" s="131"/>
      <c r="C143" s="107"/>
      <c r="D143" s="107"/>
      <c r="E143" s="108"/>
      <c r="F143" s="109"/>
      <c r="G143" s="109"/>
      <c r="H143" s="107"/>
      <c r="M143" s="101" t="str">
        <f t="shared" si="2"/>
        <v>----&gt;</v>
      </c>
      <c r="N143" s="130"/>
      <c r="O143" s="111"/>
      <c r="P143" s="112"/>
      <c r="Q143" s="113"/>
      <c r="R143" s="114"/>
      <c r="S143" s="112"/>
      <c r="T143" s="115"/>
      <c r="Y143" s="106"/>
    </row>
    <row r="144" spans="2:25" x14ac:dyDescent="0.3">
      <c r="B144" s="131"/>
      <c r="C144" s="107"/>
      <c r="D144" s="107"/>
      <c r="E144" s="108"/>
      <c r="F144" s="109"/>
      <c r="G144" s="109"/>
      <c r="H144" s="107"/>
      <c r="M144" s="101" t="str">
        <f t="shared" si="2"/>
        <v>----&gt;</v>
      </c>
      <c r="N144" s="130"/>
      <c r="O144" s="111"/>
      <c r="P144" s="112"/>
      <c r="Q144" s="113"/>
      <c r="R144" s="114"/>
      <c r="S144" s="112"/>
      <c r="T144" s="115"/>
      <c r="Y144" s="106"/>
    </row>
    <row r="145" spans="2:25" x14ac:dyDescent="0.3">
      <c r="B145" s="131"/>
      <c r="C145" s="107"/>
      <c r="D145" s="107"/>
      <c r="E145" s="108"/>
      <c r="F145" s="109"/>
      <c r="G145" s="109"/>
      <c r="H145" s="107"/>
      <c r="M145" s="101" t="str">
        <f t="shared" si="2"/>
        <v>----&gt;</v>
      </c>
      <c r="N145" s="130"/>
      <c r="O145" s="111"/>
      <c r="P145" s="112"/>
      <c r="Q145" s="113"/>
      <c r="R145" s="114"/>
      <c r="S145" s="112"/>
      <c r="T145" s="115"/>
      <c r="Y145" s="106"/>
    </row>
    <row r="146" spans="2:25" x14ac:dyDescent="0.3">
      <c r="B146" s="131"/>
      <c r="C146" s="107"/>
      <c r="D146" s="107"/>
      <c r="E146" s="108"/>
      <c r="F146" s="109"/>
      <c r="G146" s="109"/>
      <c r="H146" s="107"/>
      <c r="M146" s="101" t="str">
        <f t="shared" si="2"/>
        <v>----&gt;</v>
      </c>
      <c r="N146" s="130"/>
      <c r="O146" s="111"/>
      <c r="P146" s="112"/>
      <c r="Q146" s="113"/>
      <c r="R146" s="114"/>
      <c r="S146" s="112"/>
      <c r="T146" s="115"/>
      <c r="Y146" s="106"/>
    </row>
    <row r="147" spans="2:25" x14ac:dyDescent="0.3">
      <c r="B147" s="131"/>
      <c r="C147" s="107"/>
      <c r="D147" s="107"/>
      <c r="E147" s="108"/>
      <c r="F147" s="109"/>
      <c r="G147" s="109"/>
      <c r="H147" s="107"/>
      <c r="M147" s="101" t="str">
        <f t="shared" si="2"/>
        <v>----&gt;</v>
      </c>
      <c r="N147" s="130"/>
      <c r="O147" s="111"/>
      <c r="P147" s="112"/>
      <c r="Q147" s="113"/>
      <c r="R147" s="114"/>
      <c r="S147" s="112"/>
      <c r="T147" s="115"/>
      <c r="Y147" s="106"/>
    </row>
    <row r="148" spans="2:25" x14ac:dyDescent="0.3">
      <c r="B148" s="131"/>
      <c r="C148" s="107"/>
      <c r="D148" s="107"/>
      <c r="E148" s="108"/>
      <c r="F148" s="109"/>
      <c r="G148" s="109"/>
      <c r="H148" s="107"/>
      <c r="M148" s="101" t="str">
        <f t="shared" si="2"/>
        <v>----&gt;</v>
      </c>
      <c r="N148" s="130"/>
      <c r="O148" s="111"/>
      <c r="P148" s="112"/>
      <c r="Q148" s="113"/>
      <c r="R148" s="114"/>
      <c r="S148" s="112"/>
      <c r="T148" s="115"/>
      <c r="Y148" s="106"/>
    </row>
    <row r="149" spans="2:25" x14ac:dyDescent="0.3">
      <c r="B149" s="131"/>
      <c r="C149" s="107"/>
      <c r="D149" s="107"/>
      <c r="E149" s="108"/>
      <c r="F149" s="109"/>
      <c r="G149" s="109"/>
      <c r="H149" s="107"/>
      <c r="M149" s="101" t="str">
        <f t="shared" si="2"/>
        <v>----&gt;</v>
      </c>
      <c r="N149" s="130"/>
      <c r="O149" s="111"/>
      <c r="P149" s="112"/>
      <c r="Q149" s="113"/>
      <c r="R149" s="114"/>
      <c r="S149" s="112"/>
      <c r="T149" s="115"/>
      <c r="Y149" s="106"/>
    </row>
    <row r="150" spans="2:25" x14ac:dyDescent="0.3">
      <c r="B150" s="131"/>
      <c r="C150" s="107"/>
      <c r="D150" s="107"/>
      <c r="E150" s="108"/>
      <c r="F150" s="109"/>
      <c r="G150" s="109"/>
      <c r="H150" s="107"/>
      <c r="M150" s="101" t="str">
        <f t="shared" si="2"/>
        <v>----&gt;</v>
      </c>
      <c r="N150" s="130"/>
      <c r="O150" s="111"/>
      <c r="P150" s="112"/>
      <c r="Q150" s="113"/>
      <c r="R150" s="114"/>
      <c r="S150" s="112"/>
      <c r="T150" s="115"/>
      <c r="Y150" s="106"/>
    </row>
    <row r="151" spans="2:25" x14ac:dyDescent="0.3">
      <c r="B151" s="131"/>
      <c r="C151" s="107"/>
      <c r="D151" s="107"/>
      <c r="E151" s="108"/>
      <c r="F151" s="109"/>
      <c r="G151" s="109"/>
      <c r="H151" s="107"/>
      <c r="M151" s="101" t="str">
        <f t="shared" si="2"/>
        <v>----&gt;</v>
      </c>
      <c r="N151" s="130"/>
      <c r="O151" s="111"/>
      <c r="P151" s="112"/>
      <c r="Q151" s="113"/>
      <c r="R151" s="114"/>
      <c r="S151" s="112"/>
      <c r="T151" s="115"/>
      <c r="Y151" s="106"/>
    </row>
    <row r="152" spans="2:25" x14ac:dyDescent="0.3">
      <c r="B152" s="131"/>
      <c r="C152" s="107"/>
      <c r="D152" s="107"/>
      <c r="E152" s="108"/>
      <c r="F152" s="109"/>
      <c r="G152" s="109"/>
      <c r="H152" s="107"/>
      <c r="M152" s="101" t="str">
        <f t="shared" si="2"/>
        <v>----&gt;</v>
      </c>
      <c r="N152" s="130"/>
      <c r="O152" s="111"/>
      <c r="P152" s="112"/>
      <c r="Q152" s="113"/>
      <c r="R152" s="114"/>
      <c r="S152" s="112"/>
      <c r="T152" s="115"/>
      <c r="Y152" s="106"/>
    </row>
    <row r="153" spans="2:25" x14ac:dyDescent="0.3">
      <c r="B153" s="131"/>
      <c r="C153" s="107"/>
      <c r="D153" s="107"/>
      <c r="E153" s="108"/>
      <c r="F153" s="109"/>
      <c r="G153" s="109"/>
      <c r="H153" s="107"/>
      <c r="M153" s="101" t="str">
        <f t="shared" si="2"/>
        <v>----&gt;</v>
      </c>
      <c r="N153" s="130"/>
      <c r="O153" s="111"/>
      <c r="P153" s="112"/>
      <c r="Q153" s="113"/>
      <c r="R153" s="114"/>
      <c r="S153" s="112"/>
      <c r="T153" s="115"/>
      <c r="Y153" s="106"/>
    </row>
    <row r="154" spans="2:25" x14ac:dyDescent="0.3">
      <c r="B154" s="131"/>
      <c r="C154" s="107"/>
      <c r="D154" s="107"/>
      <c r="E154" s="108"/>
      <c r="F154" s="109"/>
      <c r="G154" s="109"/>
      <c r="H154" s="107"/>
      <c r="M154" s="101" t="str">
        <f t="shared" si="2"/>
        <v>----&gt;</v>
      </c>
      <c r="N154" s="130"/>
      <c r="O154" s="111"/>
      <c r="P154" s="112"/>
      <c r="Q154" s="113"/>
      <c r="R154" s="114"/>
      <c r="S154" s="112"/>
      <c r="T154" s="115"/>
      <c r="Y154" s="106"/>
    </row>
    <row r="155" spans="2:25" x14ac:dyDescent="0.3">
      <c r="B155" s="131"/>
      <c r="C155" s="107"/>
      <c r="D155" s="107"/>
      <c r="E155" s="108"/>
      <c r="F155" s="109"/>
      <c r="G155" s="109"/>
      <c r="H155" s="107"/>
      <c r="M155" s="101" t="str">
        <f t="shared" si="2"/>
        <v>----&gt;</v>
      </c>
      <c r="N155" s="130"/>
      <c r="O155" s="111"/>
      <c r="P155" s="112"/>
      <c r="Q155" s="113"/>
      <c r="R155" s="114"/>
      <c r="S155" s="112"/>
      <c r="T155" s="115"/>
      <c r="Y155" s="106"/>
    </row>
    <row r="156" spans="2:25" x14ac:dyDescent="0.3">
      <c r="B156" s="131"/>
      <c r="C156" s="107"/>
      <c r="D156" s="107"/>
      <c r="E156" s="108"/>
      <c r="F156" s="109"/>
      <c r="G156" s="109"/>
      <c r="H156" s="107"/>
      <c r="M156" s="101" t="str">
        <f t="shared" si="2"/>
        <v>----&gt;</v>
      </c>
      <c r="N156" s="130"/>
      <c r="O156" s="111"/>
      <c r="P156" s="112"/>
      <c r="Q156" s="113"/>
      <c r="R156" s="114"/>
      <c r="S156" s="112"/>
      <c r="T156" s="115"/>
      <c r="Y156" s="106"/>
    </row>
    <row r="157" spans="2:25" x14ac:dyDescent="0.3">
      <c r="B157" s="131"/>
      <c r="C157" s="107"/>
      <c r="D157" s="107"/>
      <c r="E157" s="108"/>
      <c r="F157" s="109"/>
      <c r="G157" s="109"/>
      <c r="H157" s="107"/>
      <c r="M157" s="101" t="str">
        <f t="shared" si="2"/>
        <v>----&gt;</v>
      </c>
      <c r="N157" s="130"/>
      <c r="O157" s="111"/>
      <c r="P157" s="112"/>
      <c r="Q157" s="113"/>
      <c r="R157" s="114"/>
      <c r="S157" s="112"/>
      <c r="T157" s="115"/>
      <c r="Y157" s="106"/>
    </row>
    <row r="158" spans="2:25" x14ac:dyDescent="0.3">
      <c r="B158" s="131"/>
      <c r="C158" s="107"/>
      <c r="D158" s="107"/>
      <c r="E158" s="108"/>
      <c r="F158" s="109"/>
      <c r="G158" s="109"/>
      <c r="H158" s="107"/>
      <c r="M158" s="101" t="str">
        <f t="shared" si="2"/>
        <v>----&gt;</v>
      </c>
      <c r="N158" s="130"/>
      <c r="O158" s="111"/>
      <c r="P158" s="112"/>
      <c r="Q158" s="113"/>
      <c r="R158" s="114"/>
      <c r="S158" s="112"/>
      <c r="T158" s="115"/>
      <c r="Y158" s="106"/>
    </row>
    <row r="159" spans="2:25" x14ac:dyDescent="0.3">
      <c r="B159" s="131"/>
      <c r="C159" s="107"/>
      <c r="D159" s="107"/>
      <c r="E159" s="108"/>
      <c r="F159" s="109"/>
      <c r="G159" s="109"/>
      <c r="H159" s="107"/>
      <c r="M159" s="101" t="str">
        <f t="shared" si="2"/>
        <v>----&gt;</v>
      </c>
      <c r="N159" s="130"/>
      <c r="O159" s="111"/>
      <c r="P159" s="112"/>
      <c r="Q159" s="113"/>
      <c r="R159" s="114"/>
      <c r="S159" s="112"/>
      <c r="T159" s="115"/>
      <c r="Y159" s="106"/>
    </row>
    <row r="160" spans="2:25" x14ac:dyDescent="0.3">
      <c r="B160" s="131"/>
      <c r="C160" s="107"/>
      <c r="D160" s="107"/>
      <c r="E160" s="108"/>
      <c r="F160" s="109"/>
      <c r="G160" s="109"/>
      <c r="H160" s="107"/>
      <c r="M160" s="101" t="str">
        <f t="shared" si="2"/>
        <v>----&gt;</v>
      </c>
      <c r="N160" s="130"/>
      <c r="O160" s="111"/>
      <c r="P160" s="112"/>
      <c r="Q160" s="113"/>
      <c r="R160" s="114"/>
      <c r="S160" s="112"/>
      <c r="T160" s="115"/>
      <c r="Y160" s="106"/>
    </row>
    <row r="161" spans="2:25" x14ac:dyDescent="0.3">
      <c r="B161" s="131"/>
      <c r="C161" s="107"/>
      <c r="D161" s="107"/>
      <c r="E161" s="108"/>
      <c r="F161" s="109"/>
      <c r="G161" s="109"/>
      <c r="H161" s="107"/>
      <c r="M161" s="101" t="str">
        <f t="shared" si="2"/>
        <v>----&gt;</v>
      </c>
      <c r="N161" s="130"/>
      <c r="O161" s="111"/>
      <c r="P161" s="112"/>
      <c r="Q161" s="113"/>
      <c r="R161" s="114"/>
      <c r="S161" s="112"/>
      <c r="T161" s="115"/>
      <c r="Y161" s="106"/>
    </row>
    <row r="162" spans="2:25" x14ac:dyDescent="0.3">
      <c r="B162" s="131"/>
      <c r="C162" s="107"/>
      <c r="D162" s="107"/>
      <c r="E162" s="108"/>
      <c r="F162" s="109"/>
      <c r="G162" s="109"/>
      <c r="H162" s="107"/>
      <c r="M162" s="101" t="str">
        <f t="shared" si="2"/>
        <v>----&gt;</v>
      </c>
      <c r="N162" s="130"/>
      <c r="O162" s="111"/>
      <c r="P162" s="112"/>
      <c r="Q162" s="113"/>
      <c r="R162" s="114"/>
      <c r="S162" s="112"/>
      <c r="T162" s="115"/>
      <c r="Y162" s="106"/>
    </row>
    <row r="163" spans="2:25" x14ac:dyDescent="0.3">
      <c r="B163" s="131"/>
      <c r="C163" s="107"/>
      <c r="D163" s="107"/>
      <c r="E163" s="108"/>
      <c r="F163" s="109"/>
      <c r="G163" s="109"/>
      <c r="H163" s="107"/>
      <c r="M163" s="101" t="str">
        <f t="shared" si="2"/>
        <v>----&gt;</v>
      </c>
      <c r="N163" s="130"/>
      <c r="O163" s="111"/>
      <c r="P163" s="112"/>
      <c r="Q163" s="113"/>
      <c r="R163" s="114"/>
      <c r="S163" s="112"/>
      <c r="T163" s="115"/>
      <c r="Y163" s="106"/>
    </row>
    <row r="164" spans="2:25" x14ac:dyDescent="0.3">
      <c r="B164" s="131"/>
      <c r="C164" s="107"/>
      <c r="D164" s="107"/>
      <c r="E164" s="108"/>
      <c r="F164" s="109"/>
      <c r="G164" s="109"/>
      <c r="H164" s="107"/>
      <c r="M164" s="101" t="str">
        <f t="shared" si="2"/>
        <v>----&gt;</v>
      </c>
      <c r="N164" s="130"/>
      <c r="O164" s="111"/>
      <c r="P164" s="112"/>
      <c r="Q164" s="113"/>
      <c r="R164" s="114"/>
      <c r="S164" s="112"/>
      <c r="T164" s="115"/>
      <c r="Y164" s="106"/>
    </row>
    <row r="165" spans="2:25" x14ac:dyDescent="0.3">
      <c r="B165" s="131"/>
      <c r="C165" s="107"/>
      <c r="D165" s="107"/>
      <c r="E165" s="108"/>
      <c r="F165" s="109"/>
      <c r="G165" s="109"/>
      <c r="H165" s="107"/>
      <c r="M165" s="101" t="str">
        <f t="shared" si="2"/>
        <v>----&gt;</v>
      </c>
      <c r="N165" s="130"/>
      <c r="O165" s="111"/>
      <c r="P165" s="112"/>
      <c r="Q165" s="113"/>
      <c r="R165" s="114"/>
      <c r="S165" s="112"/>
      <c r="T165" s="115"/>
      <c r="Y165" s="106"/>
    </row>
    <row r="166" spans="2:25" x14ac:dyDescent="0.3">
      <c r="B166" s="131"/>
      <c r="C166" s="107"/>
      <c r="D166" s="107"/>
      <c r="E166" s="108"/>
      <c r="F166" s="109"/>
      <c r="G166" s="109"/>
      <c r="H166" s="107"/>
      <c r="M166" s="101" t="str">
        <f t="shared" si="2"/>
        <v>----&gt;</v>
      </c>
      <c r="N166" s="130"/>
      <c r="O166" s="111"/>
      <c r="P166" s="112"/>
      <c r="Q166" s="113"/>
      <c r="R166" s="114"/>
      <c r="S166" s="112"/>
      <c r="T166" s="115"/>
      <c r="Y166" s="106"/>
    </row>
    <row r="167" spans="2:25" x14ac:dyDescent="0.3">
      <c r="B167" s="131"/>
      <c r="C167" s="107"/>
      <c r="D167" s="107"/>
      <c r="E167" s="108"/>
      <c r="F167" s="109"/>
      <c r="G167" s="109"/>
      <c r="H167" s="107"/>
      <c r="M167" s="101" t="str">
        <f t="shared" si="2"/>
        <v>----&gt;</v>
      </c>
      <c r="N167" s="130"/>
      <c r="O167" s="111"/>
      <c r="P167" s="112"/>
      <c r="Q167" s="113"/>
      <c r="R167" s="114"/>
      <c r="S167" s="112"/>
      <c r="T167" s="115"/>
      <c r="Y167" s="106"/>
    </row>
    <row r="168" spans="2:25" x14ac:dyDescent="0.3">
      <c r="B168" s="131"/>
      <c r="C168" s="107"/>
      <c r="D168" s="107"/>
      <c r="E168" s="108"/>
      <c r="F168" s="109"/>
      <c r="G168" s="109"/>
      <c r="H168" s="107"/>
      <c r="M168" s="101" t="str">
        <f t="shared" si="2"/>
        <v>----&gt;</v>
      </c>
      <c r="N168" s="130"/>
      <c r="O168" s="111"/>
      <c r="P168" s="112"/>
      <c r="Q168" s="113"/>
      <c r="R168" s="114"/>
      <c r="S168" s="112"/>
      <c r="T168" s="115"/>
      <c r="Y168" s="106"/>
    </row>
    <row r="169" spans="2:25" x14ac:dyDescent="0.3">
      <c r="B169" s="131"/>
      <c r="C169" s="107"/>
      <c r="D169" s="107"/>
      <c r="E169" s="108"/>
      <c r="F169" s="109"/>
      <c r="G169" s="109"/>
      <c r="H169" s="107"/>
      <c r="M169" s="101" t="str">
        <f t="shared" si="2"/>
        <v>----&gt;</v>
      </c>
      <c r="N169" s="130"/>
      <c r="O169" s="111"/>
      <c r="P169" s="112"/>
      <c r="Q169" s="113"/>
      <c r="R169" s="114"/>
      <c r="S169" s="112"/>
      <c r="T169" s="115"/>
      <c r="Y169" s="106"/>
    </row>
    <row r="170" spans="2:25" x14ac:dyDescent="0.3">
      <c r="B170" s="131"/>
      <c r="C170" s="107"/>
      <c r="D170" s="107"/>
      <c r="E170" s="108"/>
      <c r="F170" s="109"/>
      <c r="G170" s="109"/>
      <c r="H170" s="107"/>
      <c r="M170" s="101" t="str">
        <f t="shared" si="2"/>
        <v>----&gt;</v>
      </c>
      <c r="N170" s="130"/>
      <c r="O170" s="111"/>
      <c r="P170" s="112"/>
      <c r="Q170" s="113"/>
      <c r="R170" s="114"/>
      <c r="S170" s="112"/>
      <c r="T170" s="115"/>
      <c r="Y170" s="106"/>
    </row>
    <row r="171" spans="2:25" x14ac:dyDescent="0.3">
      <c r="B171" s="131"/>
      <c r="C171" s="107"/>
      <c r="D171" s="107"/>
      <c r="E171" s="108"/>
      <c r="F171" s="109"/>
      <c r="G171" s="109"/>
      <c r="H171" s="107"/>
      <c r="M171" s="101" t="str">
        <f t="shared" si="2"/>
        <v>----&gt;</v>
      </c>
      <c r="N171" s="130"/>
      <c r="O171" s="111"/>
      <c r="P171" s="112"/>
      <c r="Q171" s="113"/>
      <c r="R171" s="114"/>
      <c r="S171" s="112"/>
      <c r="T171" s="115"/>
      <c r="Y171" s="106"/>
    </row>
    <row r="172" spans="2:25" x14ac:dyDescent="0.3">
      <c r="B172" s="131"/>
      <c r="C172" s="107"/>
      <c r="D172" s="107"/>
      <c r="E172" s="108"/>
      <c r="F172" s="109"/>
      <c r="G172" s="109"/>
      <c r="H172" s="107"/>
      <c r="M172" s="101" t="str">
        <f t="shared" si="2"/>
        <v>----&gt;</v>
      </c>
      <c r="N172" s="130"/>
      <c r="O172" s="111"/>
      <c r="P172" s="112"/>
      <c r="Q172" s="113"/>
      <c r="R172" s="114"/>
      <c r="S172" s="112"/>
      <c r="T172" s="115"/>
      <c r="Y172" s="106"/>
    </row>
    <row r="173" spans="2:25" x14ac:dyDescent="0.3">
      <c r="B173" s="131"/>
      <c r="C173" s="107"/>
      <c r="D173" s="107"/>
      <c r="E173" s="108"/>
      <c r="F173" s="109"/>
      <c r="G173" s="109"/>
      <c r="H173" s="107"/>
      <c r="M173" s="101" t="str">
        <f t="shared" si="2"/>
        <v>----&gt;</v>
      </c>
      <c r="N173" s="130"/>
      <c r="O173" s="111"/>
      <c r="P173" s="112"/>
      <c r="Q173" s="113"/>
      <c r="R173" s="114"/>
      <c r="S173" s="112"/>
      <c r="T173" s="115"/>
      <c r="Y173" s="106"/>
    </row>
    <row r="174" spans="2:25" x14ac:dyDescent="0.3">
      <c r="B174" s="131"/>
      <c r="C174" s="107"/>
      <c r="D174" s="107"/>
      <c r="E174" s="108"/>
      <c r="F174" s="109"/>
      <c r="G174" s="109"/>
      <c r="H174" s="107"/>
      <c r="M174" s="101" t="str">
        <f t="shared" si="2"/>
        <v>----&gt;</v>
      </c>
      <c r="N174" s="130"/>
      <c r="O174" s="111"/>
      <c r="P174" s="112"/>
      <c r="Q174" s="113"/>
      <c r="R174" s="114"/>
      <c r="S174" s="112"/>
      <c r="T174" s="115"/>
      <c r="Y174" s="106"/>
    </row>
    <row r="175" spans="2:25" x14ac:dyDescent="0.3">
      <c r="B175" s="131"/>
      <c r="C175" s="107"/>
      <c r="D175" s="107"/>
      <c r="E175" s="108"/>
      <c r="F175" s="109"/>
      <c r="G175" s="109"/>
      <c r="H175" s="107"/>
      <c r="M175" s="101" t="str">
        <f t="shared" si="2"/>
        <v>----&gt;</v>
      </c>
      <c r="N175" s="130"/>
      <c r="O175" s="111"/>
      <c r="P175" s="112"/>
      <c r="Q175" s="113"/>
      <c r="R175" s="114"/>
      <c r="S175" s="112"/>
      <c r="T175" s="115"/>
      <c r="Y175" s="106"/>
    </row>
    <row r="176" spans="2:25" x14ac:dyDescent="0.3">
      <c r="B176" s="131"/>
      <c r="C176" s="107"/>
      <c r="D176" s="107"/>
      <c r="E176" s="108"/>
      <c r="F176" s="109"/>
      <c r="G176" s="109"/>
      <c r="H176" s="107"/>
      <c r="M176" s="101" t="str">
        <f t="shared" si="2"/>
        <v>----&gt;</v>
      </c>
      <c r="N176" s="130"/>
      <c r="O176" s="111"/>
      <c r="P176" s="112"/>
      <c r="Q176" s="113"/>
      <c r="R176" s="114"/>
      <c r="S176" s="112"/>
      <c r="T176" s="115"/>
      <c r="Y176" s="106"/>
    </row>
    <row r="177" spans="1:25" x14ac:dyDescent="0.3">
      <c r="B177" s="131"/>
      <c r="C177" s="107"/>
      <c r="D177" s="107"/>
      <c r="E177" s="108"/>
      <c r="F177" s="109"/>
      <c r="G177" s="109"/>
      <c r="H177" s="107"/>
      <c r="M177" s="101" t="str">
        <f t="shared" si="2"/>
        <v>----&gt;</v>
      </c>
      <c r="N177" s="130"/>
      <c r="O177" s="111"/>
      <c r="P177" s="112"/>
      <c r="Q177" s="113"/>
      <c r="R177" s="114"/>
      <c r="S177" s="112"/>
      <c r="T177" s="115"/>
      <c r="Y177" s="106"/>
    </row>
    <row r="178" spans="1:25" x14ac:dyDescent="0.3">
      <c r="B178" s="131"/>
      <c r="C178" s="107"/>
      <c r="D178" s="107"/>
      <c r="E178" s="108"/>
      <c r="F178" s="109"/>
      <c r="G178" s="109"/>
      <c r="H178" s="107"/>
      <c r="M178" s="101" t="str">
        <f t="shared" si="2"/>
        <v>----&gt;</v>
      </c>
      <c r="N178" s="130"/>
      <c r="O178" s="111"/>
      <c r="P178" s="112"/>
      <c r="Q178" s="113"/>
      <c r="R178" s="114"/>
      <c r="S178" s="112"/>
      <c r="T178" s="115"/>
      <c r="Y178" s="106"/>
    </row>
    <row r="179" spans="1:25" x14ac:dyDescent="0.3">
      <c r="B179" s="131"/>
      <c r="C179" s="107"/>
      <c r="D179" s="107"/>
      <c r="E179" s="108"/>
      <c r="F179" s="109"/>
      <c r="G179" s="109"/>
      <c r="H179" s="107"/>
      <c r="M179" s="101" t="str">
        <f t="shared" si="2"/>
        <v>----&gt;</v>
      </c>
      <c r="N179" s="130"/>
      <c r="O179" s="111"/>
      <c r="P179" s="112"/>
      <c r="Q179" s="113"/>
      <c r="R179" s="114"/>
      <c r="S179" s="112"/>
      <c r="T179" s="115"/>
      <c r="Y179" s="106"/>
    </row>
    <row r="180" spans="1:25" x14ac:dyDescent="0.3">
      <c r="B180" s="131"/>
      <c r="C180" s="107"/>
      <c r="D180" s="107"/>
      <c r="E180" s="108"/>
      <c r="F180" s="109"/>
      <c r="G180" s="109"/>
      <c r="H180" s="107"/>
      <c r="M180" s="101" t="str">
        <f t="shared" si="2"/>
        <v>----&gt;</v>
      </c>
      <c r="N180" s="130"/>
      <c r="O180" s="111"/>
      <c r="P180" s="112"/>
      <c r="Q180" s="113"/>
      <c r="R180" s="114"/>
      <c r="S180" s="112"/>
      <c r="T180" s="115"/>
      <c r="Y180" s="106"/>
    </row>
    <row r="181" spans="1:25" x14ac:dyDescent="0.3">
      <c r="B181" s="131"/>
      <c r="C181" s="107"/>
      <c r="D181" s="107"/>
      <c r="E181" s="108"/>
      <c r="F181" s="109"/>
      <c r="G181" s="109"/>
      <c r="H181" s="107"/>
      <c r="M181" s="101" t="str">
        <f t="shared" si="2"/>
        <v>----&gt;</v>
      </c>
      <c r="N181" s="130"/>
      <c r="O181" s="111"/>
      <c r="P181" s="112"/>
      <c r="Q181" s="113"/>
      <c r="R181" s="114"/>
      <c r="S181" s="112"/>
      <c r="T181" s="115"/>
      <c r="Y181" s="106"/>
    </row>
    <row r="182" spans="1:25" x14ac:dyDescent="0.3">
      <c r="B182" s="131"/>
      <c r="C182" s="107"/>
      <c r="D182" s="107"/>
      <c r="E182" s="108"/>
      <c r="F182" s="109"/>
      <c r="G182" s="109"/>
      <c r="H182" s="107"/>
      <c r="M182" s="101" t="str">
        <f t="shared" si="2"/>
        <v>----&gt;</v>
      </c>
      <c r="N182" s="130"/>
      <c r="O182" s="111"/>
      <c r="P182" s="112"/>
      <c r="Q182" s="113"/>
      <c r="R182" s="114"/>
      <c r="S182" s="112"/>
      <c r="T182" s="115"/>
      <c r="Y182" s="106"/>
    </row>
    <row r="183" spans="1:25" x14ac:dyDescent="0.3">
      <c r="A183" s="116"/>
      <c r="B183" s="131"/>
      <c r="C183" s="117"/>
      <c r="D183" s="108"/>
      <c r="E183" s="108"/>
      <c r="F183" s="109"/>
      <c r="G183" s="109"/>
      <c r="H183" s="107"/>
      <c r="J183" s="89"/>
      <c r="M183" s="101" t="str">
        <f t="shared" si="2"/>
        <v>----&gt;</v>
      </c>
      <c r="N183" s="130"/>
      <c r="O183" s="118"/>
      <c r="P183" s="113"/>
      <c r="Q183" s="113"/>
      <c r="R183" s="119"/>
      <c r="S183" s="113"/>
      <c r="T183" s="120"/>
      <c r="V183" s="89"/>
      <c r="Y183" s="106"/>
    </row>
    <row r="184" spans="1:25" x14ac:dyDescent="0.3">
      <c r="A184" s="116"/>
      <c r="B184" s="131"/>
      <c r="C184" s="117"/>
      <c r="D184" s="108"/>
      <c r="E184" s="108"/>
      <c r="F184" s="109"/>
      <c r="G184" s="109"/>
      <c r="H184" s="107"/>
      <c r="J184" s="89"/>
      <c r="M184" s="101" t="str">
        <f t="shared" si="2"/>
        <v>----&gt;</v>
      </c>
      <c r="N184" s="130"/>
      <c r="O184" s="118"/>
      <c r="P184" s="113"/>
      <c r="Q184" s="113"/>
      <c r="R184" s="119"/>
      <c r="S184" s="113"/>
      <c r="T184" s="120"/>
      <c r="V184" s="89"/>
      <c r="Y184" s="106"/>
    </row>
    <row r="185" spans="1:25" x14ac:dyDescent="0.3">
      <c r="A185" s="116"/>
      <c r="B185" s="131"/>
      <c r="C185" s="117"/>
      <c r="D185" s="108"/>
      <c r="E185" s="108"/>
      <c r="F185" s="109"/>
      <c r="G185" s="109"/>
      <c r="H185" s="107"/>
      <c r="J185" s="89"/>
      <c r="M185" s="101" t="str">
        <f t="shared" si="2"/>
        <v>----&gt;</v>
      </c>
      <c r="N185" s="130"/>
      <c r="O185" s="118"/>
      <c r="P185" s="113"/>
      <c r="Q185" s="113"/>
      <c r="R185" s="119"/>
      <c r="S185" s="113"/>
      <c r="T185" s="120"/>
      <c r="V185" s="89"/>
      <c r="Y185" s="106"/>
    </row>
    <row r="186" spans="1:25" x14ac:dyDescent="0.3">
      <c r="A186" s="116"/>
      <c r="B186" s="131"/>
      <c r="C186" s="117"/>
      <c r="D186" s="108"/>
      <c r="E186" s="108"/>
      <c r="F186" s="109"/>
      <c r="G186" s="109"/>
      <c r="H186" s="107"/>
      <c r="J186" s="89"/>
      <c r="M186" s="101" t="str">
        <f t="shared" si="2"/>
        <v>----&gt;</v>
      </c>
      <c r="N186" s="130"/>
      <c r="O186" s="118"/>
      <c r="P186" s="113"/>
      <c r="Q186" s="113"/>
      <c r="R186" s="119"/>
      <c r="S186" s="113"/>
      <c r="T186" s="120"/>
      <c r="V186" s="89"/>
      <c r="Y186" s="106"/>
    </row>
    <row r="187" spans="1:25" x14ac:dyDescent="0.3">
      <c r="A187" s="116"/>
      <c r="B187" s="131"/>
      <c r="C187" s="117"/>
      <c r="D187" s="108"/>
      <c r="E187" s="108"/>
      <c r="F187" s="109"/>
      <c r="G187" s="109"/>
      <c r="H187" s="107"/>
      <c r="J187" s="89"/>
      <c r="M187" s="101" t="str">
        <f t="shared" si="2"/>
        <v>----&gt;</v>
      </c>
      <c r="N187" s="130"/>
      <c r="O187" s="118"/>
      <c r="P187" s="113"/>
      <c r="Q187" s="113"/>
      <c r="R187" s="119"/>
      <c r="S187" s="113"/>
      <c r="T187" s="120"/>
      <c r="V187" s="89"/>
      <c r="Y187" s="106"/>
    </row>
    <row r="188" spans="1:25" x14ac:dyDescent="0.3">
      <c r="A188" s="116"/>
      <c r="B188" s="131"/>
      <c r="C188" s="117"/>
      <c r="D188" s="108"/>
      <c r="E188" s="108"/>
      <c r="F188" s="109"/>
      <c r="G188" s="109"/>
      <c r="H188" s="107"/>
      <c r="J188" s="89"/>
      <c r="M188" s="101" t="str">
        <f t="shared" si="2"/>
        <v>----&gt;</v>
      </c>
      <c r="N188" s="130"/>
      <c r="O188" s="118"/>
      <c r="P188" s="113"/>
      <c r="Q188" s="113"/>
      <c r="R188" s="119"/>
      <c r="S188" s="113"/>
      <c r="T188" s="120"/>
      <c r="V188" s="89"/>
      <c r="Y188" s="106"/>
    </row>
    <row r="189" spans="1:25" x14ac:dyDescent="0.3">
      <c r="A189" s="116"/>
      <c r="B189" s="131"/>
      <c r="C189" s="117"/>
      <c r="D189" s="108"/>
      <c r="E189" s="108"/>
      <c r="F189" s="109"/>
      <c r="G189" s="109"/>
      <c r="H189" s="107"/>
      <c r="J189" s="89"/>
      <c r="M189" s="101" t="str">
        <f t="shared" si="2"/>
        <v>----&gt;</v>
      </c>
      <c r="N189" s="130"/>
      <c r="O189" s="118"/>
      <c r="P189" s="113"/>
      <c r="Q189" s="113"/>
      <c r="R189" s="119"/>
      <c r="S189" s="113"/>
      <c r="T189" s="120"/>
      <c r="V189" s="89"/>
      <c r="Y189" s="106"/>
    </row>
    <row r="190" spans="1:25" x14ac:dyDescent="0.3">
      <c r="A190" s="116"/>
      <c r="B190" s="131"/>
      <c r="C190" s="117"/>
      <c r="D190" s="108"/>
      <c r="E190" s="108"/>
      <c r="F190" s="109"/>
      <c r="G190" s="109"/>
      <c r="H190" s="107"/>
      <c r="J190" s="89"/>
      <c r="M190" s="101" t="str">
        <f t="shared" si="2"/>
        <v>----&gt;</v>
      </c>
      <c r="N190" s="130"/>
      <c r="O190" s="118"/>
      <c r="P190" s="113"/>
      <c r="Q190" s="113"/>
      <c r="R190" s="119"/>
      <c r="S190" s="113"/>
      <c r="T190" s="120"/>
      <c r="V190" s="89"/>
      <c r="Y190" s="106"/>
    </row>
    <row r="191" spans="1:25" x14ac:dyDescent="0.3">
      <c r="A191" s="116"/>
      <c r="B191" s="131"/>
      <c r="C191" s="117"/>
      <c r="D191" s="108"/>
      <c r="E191" s="108"/>
      <c r="F191" s="109"/>
      <c r="G191" s="109"/>
      <c r="H191" s="107"/>
      <c r="J191" s="89"/>
      <c r="M191" s="101" t="str">
        <f t="shared" si="2"/>
        <v>----&gt;</v>
      </c>
      <c r="N191" s="130"/>
      <c r="O191" s="118"/>
      <c r="P191" s="113"/>
      <c r="Q191" s="113"/>
      <c r="R191" s="119"/>
      <c r="S191" s="113"/>
      <c r="T191" s="120"/>
      <c r="V191" s="89"/>
      <c r="Y191" s="106"/>
    </row>
    <row r="192" spans="1:25" x14ac:dyDescent="0.3">
      <c r="A192" s="116"/>
      <c r="B192" s="131"/>
      <c r="C192" s="117"/>
      <c r="D192" s="108"/>
      <c r="E192" s="108"/>
      <c r="F192" s="109"/>
      <c r="G192" s="109"/>
      <c r="H192" s="107"/>
      <c r="J192" s="89"/>
      <c r="M192" s="101" t="str">
        <f t="shared" si="2"/>
        <v>----&gt;</v>
      </c>
      <c r="N192" s="130"/>
      <c r="O192" s="118"/>
      <c r="P192" s="113"/>
      <c r="Q192" s="113"/>
      <c r="R192" s="119"/>
      <c r="S192" s="113"/>
      <c r="T192" s="120"/>
      <c r="V192" s="89"/>
      <c r="Y192" s="106"/>
    </row>
    <row r="193" spans="1:25" x14ac:dyDescent="0.3">
      <c r="A193" s="116"/>
      <c r="B193" s="131"/>
      <c r="C193" s="117"/>
      <c r="D193" s="108"/>
      <c r="E193" s="108"/>
      <c r="F193" s="109"/>
      <c r="G193" s="109"/>
      <c r="H193" s="107"/>
      <c r="J193" s="89"/>
      <c r="M193" s="101" t="str">
        <f t="shared" si="2"/>
        <v>----&gt;</v>
      </c>
      <c r="N193" s="130"/>
      <c r="O193" s="118"/>
      <c r="P193" s="113"/>
      <c r="Q193" s="113"/>
      <c r="R193" s="119"/>
      <c r="S193" s="113"/>
      <c r="T193" s="120"/>
      <c r="V193" s="89"/>
      <c r="Y193" s="106"/>
    </row>
    <row r="194" spans="1:25" x14ac:dyDescent="0.3">
      <c r="A194" s="116"/>
      <c r="B194" s="131"/>
      <c r="C194" s="117"/>
      <c r="D194" s="108"/>
      <c r="E194" s="108"/>
      <c r="F194" s="109"/>
      <c r="G194" s="109"/>
      <c r="H194" s="107"/>
      <c r="J194" s="89"/>
      <c r="M194" s="101" t="str">
        <f t="shared" si="2"/>
        <v>----&gt;</v>
      </c>
      <c r="N194" s="130"/>
      <c r="O194" s="118"/>
      <c r="P194" s="113"/>
      <c r="Q194" s="113"/>
      <c r="R194" s="119"/>
      <c r="S194" s="113"/>
      <c r="T194" s="120"/>
      <c r="V194" s="89"/>
      <c r="Y194" s="106"/>
    </row>
    <row r="195" spans="1:25" x14ac:dyDescent="0.3">
      <c r="A195" s="116"/>
      <c r="B195" s="131"/>
      <c r="C195" s="117"/>
      <c r="D195" s="108"/>
      <c r="E195" s="108"/>
      <c r="F195" s="109"/>
      <c r="G195" s="109"/>
      <c r="H195" s="107"/>
      <c r="J195" s="89"/>
      <c r="M195" s="101" t="str">
        <f t="shared" si="2"/>
        <v>----&gt;</v>
      </c>
      <c r="N195" s="130"/>
      <c r="O195" s="118"/>
      <c r="P195" s="113"/>
      <c r="Q195" s="113"/>
      <c r="R195" s="119"/>
      <c r="S195" s="113"/>
      <c r="T195" s="120"/>
      <c r="V195" s="89"/>
      <c r="Y195" s="106"/>
    </row>
    <row r="196" spans="1:25" x14ac:dyDescent="0.3">
      <c r="A196" s="116"/>
      <c r="B196" s="131"/>
      <c r="C196" s="117"/>
      <c r="D196" s="108"/>
      <c r="E196" s="108"/>
      <c r="F196" s="109"/>
      <c r="G196" s="109"/>
      <c r="H196" s="107"/>
      <c r="J196" s="89"/>
      <c r="M196" s="101" t="str">
        <f t="shared" ref="M196:M259" si="3">"----&gt;"</f>
        <v>----&gt;</v>
      </c>
      <c r="N196" s="130"/>
      <c r="O196" s="118"/>
      <c r="P196" s="113"/>
      <c r="Q196" s="113"/>
      <c r="R196" s="119"/>
      <c r="S196" s="113"/>
      <c r="T196" s="120"/>
      <c r="V196" s="89"/>
      <c r="Y196" s="106"/>
    </row>
    <row r="197" spans="1:25" x14ac:dyDescent="0.3">
      <c r="A197" s="116"/>
      <c r="B197" s="131"/>
      <c r="C197" s="117"/>
      <c r="D197" s="108"/>
      <c r="E197" s="108"/>
      <c r="F197" s="109"/>
      <c r="G197" s="109"/>
      <c r="H197" s="107"/>
      <c r="J197" s="89"/>
      <c r="M197" s="101" t="str">
        <f t="shared" si="3"/>
        <v>----&gt;</v>
      </c>
      <c r="N197" s="130"/>
      <c r="O197" s="118"/>
      <c r="P197" s="113"/>
      <c r="Q197" s="113"/>
      <c r="R197" s="119"/>
      <c r="S197" s="113"/>
      <c r="T197" s="120"/>
      <c r="V197" s="89"/>
      <c r="Y197" s="106"/>
    </row>
    <row r="198" spans="1:25" x14ac:dyDescent="0.3">
      <c r="A198" s="116"/>
      <c r="B198" s="131"/>
      <c r="C198" s="117"/>
      <c r="D198" s="108"/>
      <c r="E198" s="108"/>
      <c r="F198" s="109"/>
      <c r="G198" s="109"/>
      <c r="H198" s="107"/>
      <c r="J198" s="89"/>
      <c r="M198" s="101" t="str">
        <f t="shared" si="3"/>
        <v>----&gt;</v>
      </c>
      <c r="N198" s="130"/>
      <c r="O198" s="118"/>
      <c r="P198" s="113"/>
      <c r="Q198" s="113"/>
      <c r="R198" s="119"/>
      <c r="S198" s="113"/>
      <c r="T198" s="120"/>
      <c r="V198" s="89"/>
      <c r="Y198" s="106"/>
    </row>
    <row r="199" spans="1:25" x14ac:dyDescent="0.3">
      <c r="A199" s="116"/>
      <c r="B199" s="131"/>
      <c r="C199" s="117"/>
      <c r="D199" s="108"/>
      <c r="E199" s="108"/>
      <c r="F199" s="109"/>
      <c r="G199" s="109"/>
      <c r="H199" s="107"/>
      <c r="J199" s="89"/>
      <c r="M199" s="101" t="str">
        <f t="shared" si="3"/>
        <v>----&gt;</v>
      </c>
      <c r="N199" s="130"/>
      <c r="O199" s="118"/>
      <c r="P199" s="113"/>
      <c r="Q199" s="113"/>
      <c r="R199" s="119"/>
      <c r="S199" s="113"/>
      <c r="T199" s="120"/>
      <c r="V199" s="89"/>
      <c r="Y199" s="106"/>
    </row>
    <row r="200" spans="1:25" x14ac:dyDescent="0.3">
      <c r="A200" s="116"/>
      <c r="B200" s="131"/>
      <c r="C200" s="117"/>
      <c r="D200" s="108"/>
      <c r="E200" s="108"/>
      <c r="F200" s="109"/>
      <c r="G200" s="109"/>
      <c r="H200" s="107"/>
      <c r="J200" s="89"/>
      <c r="M200" s="101" t="str">
        <f t="shared" si="3"/>
        <v>----&gt;</v>
      </c>
      <c r="N200" s="130"/>
      <c r="O200" s="118"/>
      <c r="P200" s="113"/>
      <c r="Q200" s="113"/>
      <c r="R200" s="119"/>
      <c r="S200" s="113"/>
      <c r="T200" s="120"/>
      <c r="V200" s="89"/>
      <c r="Y200" s="106"/>
    </row>
    <row r="201" spans="1:25" x14ac:dyDescent="0.3">
      <c r="A201" s="116"/>
      <c r="B201" s="131"/>
      <c r="C201" s="117"/>
      <c r="D201" s="108"/>
      <c r="E201" s="108"/>
      <c r="F201" s="109"/>
      <c r="G201" s="109"/>
      <c r="H201" s="107"/>
      <c r="J201" s="89"/>
      <c r="M201" s="101" t="str">
        <f t="shared" si="3"/>
        <v>----&gt;</v>
      </c>
      <c r="N201" s="130"/>
      <c r="O201" s="118"/>
      <c r="P201" s="113"/>
      <c r="Q201" s="113"/>
      <c r="R201" s="119"/>
      <c r="S201" s="113"/>
      <c r="T201" s="120"/>
      <c r="V201" s="89"/>
      <c r="Y201" s="106"/>
    </row>
    <row r="202" spans="1:25" x14ac:dyDescent="0.3">
      <c r="A202" s="116"/>
      <c r="B202" s="131"/>
      <c r="C202" s="117"/>
      <c r="D202" s="108"/>
      <c r="E202" s="108"/>
      <c r="F202" s="109"/>
      <c r="G202" s="109"/>
      <c r="H202" s="107"/>
      <c r="J202" s="89"/>
      <c r="M202" s="101" t="str">
        <f t="shared" si="3"/>
        <v>----&gt;</v>
      </c>
      <c r="N202" s="130"/>
      <c r="O202" s="118"/>
      <c r="P202" s="113"/>
      <c r="Q202" s="113"/>
      <c r="R202" s="119"/>
      <c r="S202" s="113"/>
      <c r="T202" s="120"/>
      <c r="V202" s="89"/>
      <c r="Y202" s="106"/>
    </row>
    <row r="203" spans="1:25" x14ac:dyDescent="0.3">
      <c r="A203" s="116"/>
      <c r="B203" s="131"/>
      <c r="C203" s="117"/>
      <c r="D203" s="108"/>
      <c r="E203" s="108"/>
      <c r="F203" s="109"/>
      <c r="G203" s="109"/>
      <c r="H203" s="107"/>
      <c r="J203" s="89"/>
      <c r="M203" s="101" t="str">
        <f t="shared" si="3"/>
        <v>----&gt;</v>
      </c>
      <c r="N203" s="130"/>
      <c r="O203" s="118"/>
      <c r="P203" s="113"/>
      <c r="Q203" s="113"/>
      <c r="R203" s="119"/>
      <c r="S203" s="113"/>
      <c r="T203" s="120"/>
      <c r="V203" s="89"/>
      <c r="Y203" s="106"/>
    </row>
    <row r="204" spans="1:25" x14ac:dyDescent="0.3">
      <c r="A204" s="116"/>
      <c r="B204" s="131"/>
      <c r="C204" s="117"/>
      <c r="D204" s="108"/>
      <c r="E204" s="108"/>
      <c r="F204" s="109"/>
      <c r="G204" s="109"/>
      <c r="H204" s="107"/>
      <c r="J204" s="89"/>
      <c r="M204" s="101" t="str">
        <f t="shared" si="3"/>
        <v>----&gt;</v>
      </c>
      <c r="N204" s="130"/>
      <c r="O204" s="118"/>
      <c r="P204" s="113"/>
      <c r="Q204" s="113"/>
      <c r="R204" s="119"/>
      <c r="S204" s="113"/>
      <c r="T204" s="120"/>
      <c r="V204" s="89"/>
      <c r="Y204" s="106"/>
    </row>
    <row r="205" spans="1:25" x14ac:dyDescent="0.3">
      <c r="A205" s="116"/>
      <c r="B205" s="131"/>
      <c r="C205" s="117"/>
      <c r="D205" s="108"/>
      <c r="E205" s="108"/>
      <c r="F205" s="109"/>
      <c r="G205" s="109"/>
      <c r="H205" s="107"/>
      <c r="J205" s="89"/>
      <c r="M205" s="101" t="str">
        <f t="shared" si="3"/>
        <v>----&gt;</v>
      </c>
      <c r="N205" s="130"/>
      <c r="O205" s="118"/>
      <c r="P205" s="113"/>
      <c r="Q205" s="113"/>
      <c r="R205" s="119"/>
      <c r="S205" s="113"/>
      <c r="T205" s="120"/>
      <c r="V205" s="89"/>
      <c r="Y205" s="106"/>
    </row>
    <row r="206" spans="1:25" x14ac:dyDescent="0.3">
      <c r="A206" s="116"/>
      <c r="B206" s="131"/>
      <c r="C206" s="117"/>
      <c r="D206" s="108"/>
      <c r="E206" s="108"/>
      <c r="F206" s="109"/>
      <c r="G206" s="109"/>
      <c r="H206" s="107"/>
      <c r="J206" s="89"/>
      <c r="M206" s="101" t="str">
        <f t="shared" si="3"/>
        <v>----&gt;</v>
      </c>
      <c r="N206" s="130"/>
      <c r="O206" s="118"/>
      <c r="P206" s="113"/>
      <c r="Q206" s="113"/>
      <c r="R206" s="119"/>
      <c r="S206" s="113"/>
      <c r="T206" s="120"/>
      <c r="V206" s="89"/>
      <c r="W206" s="121"/>
      <c r="Y206" s="106"/>
    </row>
    <row r="207" spans="1:25" x14ac:dyDescent="0.3">
      <c r="A207" s="116"/>
      <c r="B207" s="131"/>
      <c r="C207" s="117"/>
      <c r="D207" s="108"/>
      <c r="E207" s="108"/>
      <c r="F207" s="109"/>
      <c r="G207" s="109"/>
      <c r="H207" s="107"/>
      <c r="J207" s="89"/>
      <c r="M207" s="101" t="str">
        <f t="shared" si="3"/>
        <v>----&gt;</v>
      </c>
      <c r="N207" s="130"/>
      <c r="O207" s="118"/>
      <c r="P207" s="113"/>
      <c r="Q207" s="113"/>
      <c r="R207" s="119"/>
      <c r="S207" s="113"/>
      <c r="T207" s="120"/>
      <c r="V207" s="89"/>
      <c r="W207" s="121"/>
      <c r="Y207" s="106"/>
    </row>
    <row r="208" spans="1:25" x14ac:dyDescent="0.3">
      <c r="A208" s="116"/>
      <c r="B208" s="131"/>
      <c r="C208" s="117"/>
      <c r="D208" s="108"/>
      <c r="E208" s="108"/>
      <c r="F208" s="109"/>
      <c r="G208" s="109"/>
      <c r="H208" s="107"/>
      <c r="J208" s="89"/>
      <c r="M208" s="101" t="str">
        <f t="shared" si="3"/>
        <v>----&gt;</v>
      </c>
      <c r="N208" s="130"/>
      <c r="O208" s="118"/>
      <c r="P208" s="113"/>
      <c r="Q208" s="113"/>
      <c r="R208" s="119"/>
      <c r="S208" s="113"/>
      <c r="T208" s="120"/>
      <c r="V208" s="89"/>
      <c r="Y208" s="106"/>
    </row>
    <row r="209" spans="1:25" x14ac:dyDescent="0.3">
      <c r="A209" s="116"/>
      <c r="B209" s="131"/>
      <c r="C209" s="117"/>
      <c r="D209" s="108"/>
      <c r="E209" s="108"/>
      <c r="F209" s="109"/>
      <c r="G209" s="109"/>
      <c r="H209" s="107"/>
      <c r="J209" s="89"/>
      <c r="M209" s="101" t="str">
        <f t="shared" si="3"/>
        <v>----&gt;</v>
      </c>
      <c r="N209" s="130"/>
      <c r="O209" s="118"/>
      <c r="P209" s="113"/>
      <c r="Q209" s="113"/>
      <c r="R209" s="119"/>
      <c r="S209" s="113"/>
      <c r="T209" s="120"/>
      <c r="V209" s="89"/>
      <c r="Y209" s="106"/>
    </row>
    <row r="210" spans="1:25" x14ac:dyDescent="0.3">
      <c r="A210" s="116"/>
      <c r="B210" s="131"/>
      <c r="C210" s="117"/>
      <c r="D210" s="108"/>
      <c r="E210" s="108"/>
      <c r="F210" s="109"/>
      <c r="G210" s="109"/>
      <c r="H210" s="107"/>
      <c r="J210" s="89"/>
      <c r="M210" s="101" t="str">
        <f t="shared" si="3"/>
        <v>----&gt;</v>
      </c>
      <c r="N210" s="130"/>
      <c r="O210" s="118"/>
      <c r="P210" s="113"/>
      <c r="Q210" s="113"/>
      <c r="R210" s="119"/>
      <c r="S210" s="113"/>
      <c r="T210" s="120"/>
      <c r="V210" s="89"/>
      <c r="Y210" s="106"/>
    </row>
    <row r="211" spans="1:25" x14ac:dyDescent="0.3">
      <c r="A211" s="116"/>
      <c r="B211" s="131"/>
      <c r="C211" s="117"/>
      <c r="D211" s="108"/>
      <c r="E211" s="108"/>
      <c r="F211" s="109"/>
      <c r="G211" s="109"/>
      <c r="H211" s="107"/>
      <c r="J211" s="89"/>
      <c r="M211" s="101" t="str">
        <f t="shared" si="3"/>
        <v>----&gt;</v>
      </c>
      <c r="N211" s="130"/>
      <c r="O211" s="118"/>
      <c r="P211" s="113"/>
      <c r="Q211" s="113"/>
      <c r="R211" s="119"/>
      <c r="S211" s="113"/>
      <c r="T211" s="120"/>
      <c r="V211" s="89"/>
      <c r="Y211" s="106"/>
    </row>
    <row r="212" spans="1:25" x14ac:dyDescent="0.3">
      <c r="D212" s="122"/>
      <c r="M212" s="101" t="str">
        <f t="shared" si="3"/>
        <v>----&gt;</v>
      </c>
      <c r="P212" s="122"/>
      <c r="Y212" s="106"/>
    </row>
    <row r="213" spans="1:25" x14ac:dyDescent="0.3">
      <c r="D213" s="122"/>
      <c r="M213" s="101" t="str">
        <f t="shared" si="3"/>
        <v>----&gt;</v>
      </c>
      <c r="P213" s="122"/>
      <c r="Y213" s="106"/>
    </row>
    <row r="214" spans="1:25" x14ac:dyDescent="0.3">
      <c r="D214" s="122"/>
      <c r="M214" s="101" t="str">
        <f t="shared" si="3"/>
        <v>----&gt;</v>
      </c>
      <c r="P214" s="122"/>
      <c r="Y214" s="106"/>
    </row>
    <row r="215" spans="1:25" x14ac:dyDescent="0.3">
      <c r="D215" s="122"/>
      <c r="M215" s="101" t="str">
        <f t="shared" si="3"/>
        <v>----&gt;</v>
      </c>
      <c r="P215" s="122"/>
      <c r="Y215" s="106"/>
    </row>
    <row r="216" spans="1:25" x14ac:dyDescent="0.3">
      <c r="D216" s="122"/>
      <c r="M216" s="101" t="str">
        <f t="shared" si="3"/>
        <v>----&gt;</v>
      </c>
      <c r="P216" s="122"/>
      <c r="Y216" s="106"/>
    </row>
    <row r="217" spans="1:25" x14ac:dyDescent="0.3">
      <c r="D217" s="122"/>
      <c r="M217" s="101" t="str">
        <f t="shared" si="3"/>
        <v>----&gt;</v>
      </c>
      <c r="P217" s="122"/>
      <c r="Y217" s="106"/>
    </row>
    <row r="218" spans="1:25" x14ac:dyDescent="0.3">
      <c r="D218" s="122"/>
      <c r="M218" s="101" t="str">
        <f t="shared" si="3"/>
        <v>----&gt;</v>
      </c>
      <c r="P218" s="122"/>
      <c r="Y218" s="106"/>
    </row>
    <row r="219" spans="1:25" x14ac:dyDescent="0.3">
      <c r="D219" s="122"/>
      <c r="M219" s="101" t="str">
        <f t="shared" si="3"/>
        <v>----&gt;</v>
      </c>
      <c r="P219" s="122"/>
      <c r="Y219" s="106"/>
    </row>
    <row r="220" spans="1:25" x14ac:dyDescent="0.3">
      <c r="D220" s="122"/>
      <c r="M220" s="101" t="str">
        <f t="shared" si="3"/>
        <v>----&gt;</v>
      </c>
      <c r="P220" s="122"/>
      <c r="Y220" s="106"/>
    </row>
    <row r="221" spans="1:25" x14ac:dyDescent="0.3">
      <c r="D221" s="122"/>
      <c r="M221" s="101" t="str">
        <f t="shared" si="3"/>
        <v>----&gt;</v>
      </c>
      <c r="P221" s="122"/>
      <c r="Y221" s="106"/>
    </row>
    <row r="222" spans="1:25" x14ac:dyDescent="0.3">
      <c r="D222" s="122"/>
      <c r="M222" s="101" t="str">
        <f t="shared" si="3"/>
        <v>----&gt;</v>
      </c>
      <c r="P222" s="122"/>
      <c r="Y222" s="106"/>
    </row>
    <row r="223" spans="1:25" x14ac:dyDescent="0.3">
      <c r="D223" s="122"/>
      <c r="M223" s="101" t="str">
        <f t="shared" si="3"/>
        <v>----&gt;</v>
      </c>
      <c r="P223" s="122"/>
      <c r="Y223" s="106"/>
    </row>
    <row r="224" spans="1:25" x14ac:dyDescent="0.3">
      <c r="D224" s="122"/>
      <c r="M224" s="101" t="str">
        <f t="shared" si="3"/>
        <v>----&gt;</v>
      </c>
      <c r="P224" s="122"/>
      <c r="Y224" s="106"/>
    </row>
    <row r="225" spans="4:25" x14ac:dyDescent="0.3">
      <c r="D225" s="122"/>
      <c r="M225" s="101" t="str">
        <f t="shared" si="3"/>
        <v>----&gt;</v>
      </c>
      <c r="P225" s="122"/>
      <c r="Y225" s="106"/>
    </row>
    <row r="226" spans="4:25" x14ac:dyDescent="0.3">
      <c r="D226" s="122"/>
      <c r="M226" s="101" t="str">
        <f t="shared" si="3"/>
        <v>----&gt;</v>
      </c>
      <c r="P226" s="122"/>
      <c r="Y226" s="106"/>
    </row>
    <row r="227" spans="4:25" x14ac:dyDescent="0.3">
      <c r="D227" s="122"/>
      <c r="M227" s="101" t="str">
        <f t="shared" si="3"/>
        <v>----&gt;</v>
      </c>
      <c r="P227" s="122"/>
      <c r="Y227" s="106"/>
    </row>
    <row r="228" spans="4:25" x14ac:dyDescent="0.3">
      <c r="D228" s="122"/>
      <c r="M228" s="101" t="str">
        <f t="shared" si="3"/>
        <v>----&gt;</v>
      </c>
      <c r="P228" s="122"/>
      <c r="Y228" s="106"/>
    </row>
    <row r="229" spans="4:25" x14ac:dyDescent="0.3">
      <c r="M229" s="101" t="str">
        <f t="shared" si="3"/>
        <v>----&gt;</v>
      </c>
      <c r="Y229" s="106"/>
    </row>
    <row r="230" spans="4:25" x14ac:dyDescent="0.3">
      <c r="M230" s="101" t="str">
        <f t="shared" si="3"/>
        <v>----&gt;</v>
      </c>
      <c r="Y230" s="106"/>
    </row>
    <row r="231" spans="4:25" x14ac:dyDescent="0.3">
      <c r="M231" s="101" t="str">
        <f t="shared" si="3"/>
        <v>----&gt;</v>
      </c>
      <c r="Y231" s="106"/>
    </row>
    <row r="232" spans="4:25" x14ac:dyDescent="0.3">
      <c r="M232" s="101" t="str">
        <f t="shared" si="3"/>
        <v>----&gt;</v>
      </c>
      <c r="Y232" s="106"/>
    </row>
    <row r="233" spans="4:25" x14ac:dyDescent="0.3">
      <c r="M233" s="101" t="str">
        <f t="shared" si="3"/>
        <v>----&gt;</v>
      </c>
      <c r="Y233" s="106"/>
    </row>
    <row r="234" spans="4:25" x14ac:dyDescent="0.3">
      <c r="M234" s="101" t="str">
        <f t="shared" si="3"/>
        <v>----&gt;</v>
      </c>
      <c r="Y234" s="106"/>
    </row>
    <row r="235" spans="4:25" x14ac:dyDescent="0.3">
      <c r="M235" s="101" t="str">
        <f t="shared" si="3"/>
        <v>----&gt;</v>
      </c>
      <c r="Y235" s="106"/>
    </row>
    <row r="236" spans="4:25" x14ac:dyDescent="0.3">
      <c r="M236" s="101" t="str">
        <f t="shared" si="3"/>
        <v>----&gt;</v>
      </c>
      <c r="Y236" s="106"/>
    </row>
    <row r="237" spans="4:25" x14ac:dyDescent="0.3">
      <c r="M237" s="101" t="str">
        <f t="shared" si="3"/>
        <v>----&gt;</v>
      </c>
      <c r="Y237" s="106"/>
    </row>
    <row r="238" spans="4:25" x14ac:dyDescent="0.3">
      <c r="M238" s="101" t="str">
        <f t="shared" si="3"/>
        <v>----&gt;</v>
      </c>
      <c r="Y238" s="106"/>
    </row>
    <row r="239" spans="4:25" x14ac:dyDescent="0.3">
      <c r="M239" s="101" t="str">
        <f t="shared" si="3"/>
        <v>----&gt;</v>
      </c>
      <c r="Y239" s="106"/>
    </row>
    <row r="240" spans="4:25" x14ac:dyDescent="0.3">
      <c r="M240" s="101" t="str">
        <f t="shared" si="3"/>
        <v>----&gt;</v>
      </c>
      <c r="Y240" s="106"/>
    </row>
    <row r="241" spans="13:25" x14ac:dyDescent="0.3">
      <c r="M241" s="101" t="str">
        <f t="shared" si="3"/>
        <v>----&gt;</v>
      </c>
      <c r="Y241" s="106"/>
    </row>
    <row r="242" spans="13:25" x14ac:dyDescent="0.3">
      <c r="M242" s="101" t="str">
        <f t="shared" si="3"/>
        <v>----&gt;</v>
      </c>
      <c r="Y242" s="106"/>
    </row>
    <row r="243" spans="13:25" x14ac:dyDescent="0.3">
      <c r="M243" s="101" t="str">
        <f t="shared" si="3"/>
        <v>----&gt;</v>
      </c>
      <c r="Y243" s="106"/>
    </row>
    <row r="244" spans="13:25" x14ac:dyDescent="0.3">
      <c r="M244" s="101" t="str">
        <f t="shared" si="3"/>
        <v>----&gt;</v>
      </c>
      <c r="Y244" s="106"/>
    </row>
    <row r="245" spans="13:25" x14ac:dyDescent="0.3">
      <c r="M245" s="101" t="str">
        <f t="shared" si="3"/>
        <v>----&gt;</v>
      </c>
      <c r="Y245" s="106"/>
    </row>
    <row r="246" spans="13:25" x14ac:dyDescent="0.3">
      <c r="M246" s="101" t="str">
        <f t="shared" si="3"/>
        <v>----&gt;</v>
      </c>
      <c r="Y246" s="106"/>
    </row>
    <row r="247" spans="13:25" x14ac:dyDescent="0.3">
      <c r="M247" s="101" t="str">
        <f t="shared" si="3"/>
        <v>----&gt;</v>
      </c>
      <c r="Y247" s="106"/>
    </row>
    <row r="248" spans="13:25" x14ac:dyDescent="0.3">
      <c r="M248" s="101" t="str">
        <f t="shared" si="3"/>
        <v>----&gt;</v>
      </c>
      <c r="Y248" s="106"/>
    </row>
    <row r="249" spans="13:25" x14ac:dyDescent="0.3">
      <c r="M249" s="101" t="str">
        <f t="shared" si="3"/>
        <v>----&gt;</v>
      </c>
      <c r="Y249" s="106"/>
    </row>
    <row r="250" spans="13:25" x14ac:dyDescent="0.3">
      <c r="M250" s="101" t="str">
        <f t="shared" si="3"/>
        <v>----&gt;</v>
      </c>
      <c r="Y250" s="106"/>
    </row>
    <row r="251" spans="13:25" x14ac:dyDescent="0.3">
      <c r="M251" s="101" t="str">
        <f t="shared" si="3"/>
        <v>----&gt;</v>
      </c>
      <c r="Y251" s="106"/>
    </row>
    <row r="252" spans="13:25" x14ac:dyDescent="0.3">
      <c r="M252" s="101" t="str">
        <f t="shared" si="3"/>
        <v>----&gt;</v>
      </c>
      <c r="Y252" s="106"/>
    </row>
    <row r="253" spans="13:25" x14ac:dyDescent="0.3">
      <c r="M253" s="101" t="str">
        <f t="shared" si="3"/>
        <v>----&gt;</v>
      </c>
      <c r="Y253" s="106"/>
    </row>
    <row r="254" spans="13:25" x14ac:dyDescent="0.3">
      <c r="M254" s="101" t="str">
        <f t="shared" si="3"/>
        <v>----&gt;</v>
      </c>
      <c r="Y254" s="106"/>
    </row>
    <row r="255" spans="13:25" x14ac:dyDescent="0.3">
      <c r="M255" s="101" t="str">
        <f t="shared" si="3"/>
        <v>----&gt;</v>
      </c>
      <c r="Y255" s="106"/>
    </row>
    <row r="256" spans="13:25" x14ac:dyDescent="0.3">
      <c r="M256" s="101" t="str">
        <f t="shared" si="3"/>
        <v>----&gt;</v>
      </c>
      <c r="Y256" s="106"/>
    </row>
    <row r="257" spans="13:25" x14ac:dyDescent="0.3">
      <c r="M257" s="101" t="str">
        <f t="shared" si="3"/>
        <v>----&gt;</v>
      </c>
      <c r="Y257" s="106"/>
    </row>
    <row r="258" spans="13:25" x14ac:dyDescent="0.3">
      <c r="M258" s="101" t="str">
        <f t="shared" si="3"/>
        <v>----&gt;</v>
      </c>
      <c r="Y258" s="106"/>
    </row>
    <row r="259" spans="13:25" x14ac:dyDescent="0.3">
      <c r="M259" s="101" t="str">
        <f t="shared" si="3"/>
        <v>----&gt;</v>
      </c>
      <c r="Y259" s="106"/>
    </row>
    <row r="260" spans="13:25" x14ac:dyDescent="0.3">
      <c r="M260" s="101" t="str">
        <f t="shared" ref="M260:M312" si="4">"----&gt;"</f>
        <v>----&gt;</v>
      </c>
      <c r="Y260" s="106"/>
    </row>
    <row r="261" spans="13:25" x14ac:dyDescent="0.3">
      <c r="M261" s="101" t="str">
        <f t="shared" si="4"/>
        <v>----&gt;</v>
      </c>
      <c r="Y261" s="106"/>
    </row>
    <row r="262" spans="13:25" x14ac:dyDescent="0.3">
      <c r="M262" s="101" t="str">
        <f t="shared" si="4"/>
        <v>----&gt;</v>
      </c>
      <c r="Y262" s="106"/>
    </row>
    <row r="263" spans="13:25" x14ac:dyDescent="0.3">
      <c r="M263" s="101" t="str">
        <f t="shared" si="4"/>
        <v>----&gt;</v>
      </c>
      <c r="Y263" s="106"/>
    </row>
    <row r="264" spans="13:25" x14ac:dyDescent="0.3">
      <c r="M264" s="101" t="str">
        <f t="shared" si="4"/>
        <v>----&gt;</v>
      </c>
      <c r="Y264" s="106"/>
    </row>
    <row r="265" spans="13:25" x14ac:dyDescent="0.3">
      <c r="M265" s="101" t="str">
        <f t="shared" si="4"/>
        <v>----&gt;</v>
      </c>
      <c r="Y265" s="106"/>
    </row>
    <row r="266" spans="13:25" x14ac:dyDescent="0.3">
      <c r="M266" s="101" t="str">
        <f t="shared" si="4"/>
        <v>----&gt;</v>
      </c>
      <c r="Y266" s="106"/>
    </row>
    <row r="267" spans="13:25" x14ac:dyDescent="0.3">
      <c r="M267" s="101" t="str">
        <f t="shared" si="4"/>
        <v>----&gt;</v>
      </c>
      <c r="Y267" s="106"/>
    </row>
    <row r="268" spans="13:25" x14ac:dyDescent="0.3">
      <c r="M268" s="101" t="str">
        <f t="shared" si="4"/>
        <v>----&gt;</v>
      </c>
      <c r="Y268" s="106"/>
    </row>
    <row r="269" spans="13:25" x14ac:dyDescent="0.3">
      <c r="M269" s="101" t="str">
        <f t="shared" si="4"/>
        <v>----&gt;</v>
      </c>
      <c r="Y269" s="106"/>
    </row>
    <row r="270" spans="13:25" x14ac:dyDescent="0.3">
      <c r="M270" s="101" t="str">
        <f t="shared" si="4"/>
        <v>----&gt;</v>
      </c>
      <c r="Y270" s="106"/>
    </row>
    <row r="271" spans="13:25" x14ac:dyDescent="0.3">
      <c r="M271" s="101" t="str">
        <f t="shared" si="4"/>
        <v>----&gt;</v>
      </c>
      <c r="Y271" s="106"/>
    </row>
    <row r="272" spans="13:25" x14ac:dyDescent="0.3">
      <c r="M272" s="101" t="str">
        <f t="shared" si="4"/>
        <v>----&gt;</v>
      </c>
      <c r="Y272" s="106"/>
    </row>
    <row r="273" spans="13:25" x14ac:dyDescent="0.3">
      <c r="M273" s="101" t="str">
        <f t="shared" si="4"/>
        <v>----&gt;</v>
      </c>
      <c r="Y273" s="106"/>
    </row>
    <row r="274" spans="13:25" x14ac:dyDescent="0.3">
      <c r="M274" s="101" t="str">
        <f t="shared" si="4"/>
        <v>----&gt;</v>
      </c>
      <c r="P274" s="124"/>
      <c r="X274" s="89"/>
      <c r="Y274" s="106"/>
    </row>
    <row r="275" spans="13:25" x14ac:dyDescent="0.3">
      <c r="M275" s="101" t="str">
        <f t="shared" si="4"/>
        <v>----&gt;</v>
      </c>
      <c r="P275" s="124"/>
      <c r="X275" s="89"/>
      <c r="Y275" s="106"/>
    </row>
    <row r="276" spans="13:25" x14ac:dyDescent="0.3">
      <c r="M276" s="101" t="str">
        <f t="shared" si="4"/>
        <v>----&gt;</v>
      </c>
      <c r="P276" s="124"/>
      <c r="X276" s="89"/>
      <c r="Y276" s="106"/>
    </row>
    <row r="277" spans="13:25" x14ac:dyDescent="0.3">
      <c r="M277" s="101" t="str">
        <f t="shared" si="4"/>
        <v>----&gt;</v>
      </c>
      <c r="P277" s="124"/>
      <c r="X277" s="89"/>
      <c r="Y277" s="106"/>
    </row>
    <row r="278" spans="13:25" x14ac:dyDescent="0.3">
      <c r="M278" s="101" t="str">
        <f t="shared" si="4"/>
        <v>----&gt;</v>
      </c>
      <c r="P278" s="124"/>
      <c r="X278" s="89"/>
      <c r="Y278" s="106"/>
    </row>
    <row r="279" spans="13:25" x14ac:dyDescent="0.3">
      <c r="M279" s="101" t="str">
        <f t="shared" si="4"/>
        <v>----&gt;</v>
      </c>
      <c r="P279" s="124"/>
      <c r="X279" s="89"/>
      <c r="Y279" s="106"/>
    </row>
    <row r="280" spans="13:25" x14ac:dyDescent="0.3">
      <c r="M280" s="101" t="str">
        <f t="shared" si="4"/>
        <v>----&gt;</v>
      </c>
      <c r="P280" s="124"/>
      <c r="X280" s="89"/>
      <c r="Y280" s="106"/>
    </row>
    <row r="281" spans="13:25" x14ac:dyDescent="0.3">
      <c r="M281" s="101" t="str">
        <f t="shared" si="4"/>
        <v>----&gt;</v>
      </c>
      <c r="P281" s="124"/>
      <c r="X281" s="89"/>
      <c r="Y281" s="106"/>
    </row>
    <row r="282" spans="13:25" x14ac:dyDescent="0.3">
      <c r="M282" s="101" t="str">
        <f t="shared" si="4"/>
        <v>----&gt;</v>
      </c>
      <c r="P282" s="124"/>
      <c r="X282" s="89"/>
      <c r="Y282" s="106"/>
    </row>
    <row r="283" spans="13:25" x14ac:dyDescent="0.3">
      <c r="M283" s="101" t="str">
        <f t="shared" si="4"/>
        <v>----&gt;</v>
      </c>
      <c r="P283" s="124"/>
      <c r="X283" s="89"/>
      <c r="Y283" s="106"/>
    </row>
    <row r="284" spans="13:25" x14ac:dyDescent="0.3">
      <c r="M284" s="101" t="str">
        <f t="shared" si="4"/>
        <v>----&gt;</v>
      </c>
      <c r="P284" s="124"/>
      <c r="X284" s="89"/>
      <c r="Y284" s="106"/>
    </row>
    <row r="285" spans="13:25" x14ac:dyDescent="0.3">
      <c r="M285" s="101" t="str">
        <f t="shared" si="4"/>
        <v>----&gt;</v>
      </c>
      <c r="P285" s="124"/>
      <c r="X285" s="89"/>
      <c r="Y285" s="106"/>
    </row>
    <row r="286" spans="13:25" x14ac:dyDescent="0.3">
      <c r="M286" s="101" t="str">
        <f t="shared" si="4"/>
        <v>----&gt;</v>
      </c>
      <c r="P286" s="124"/>
      <c r="X286" s="89"/>
      <c r="Y286" s="106"/>
    </row>
    <row r="287" spans="13:25" x14ac:dyDescent="0.3">
      <c r="M287" s="101" t="str">
        <f t="shared" si="4"/>
        <v>----&gt;</v>
      </c>
      <c r="P287" s="124"/>
      <c r="X287" s="89"/>
      <c r="Y287" s="106"/>
    </row>
    <row r="288" spans="13:25" x14ac:dyDescent="0.3">
      <c r="M288" s="101" t="str">
        <f t="shared" si="4"/>
        <v>----&gt;</v>
      </c>
      <c r="P288" s="124"/>
      <c r="X288" s="89"/>
      <c r="Y288" s="106"/>
    </row>
    <row r="289" spans="13:25" x14ac:dyDescent="0.3">
      <c r="M289" s="101" t="str">
        <f t="shared" si="4"/>
        <v>----&gt;</v>
      </c>
      <c r="P289" s="124"/>
      <c r="X289" s="89"/>
      <c r="Y289" s="106"/>
    </row>
    <row r="290" spans="13:25" x14ac:dyDescent="0.3">
      <c r="M290" s="101" t="str">
        <f t="shared" si="4"/>
        <v>----&gt;</v>
      </c>
      <c r="P290" s="124"/>
      <c r="X290" s="89"/>
      <c r="Y290" s="106"/>
    </row>
    <row r="291" spans="13:25" x14ac:dyDescent="0.3">
      <c r="M291" s="101" t="str">
        <f t="shared" si="4"/>
        <v>----&gt;</v>
      </c>
      <c r="P291" s="124"/>
      <c r="X291" s="89"/>
      <c r="Y291" s="106"/>
    </row>
    <row r="292" spans="13:25" x14ac:dyDescent="0.3">
      <c r="M292" s="101" t="str">
        <f t="shared" si="4"/>
        <v>----&gt;</v>
      </c>
      <c r="P292" s="124"/>
      <c r="X292" s="89"/>
      <c r="Y292" s="106"/>
    </row>
    <row r="293" spans="13:25" x14ac:dyDescent="0.3">
      <c r="M293" s="101" t="str">
        <f t="shared" si="4"/>
        <v>----&gt;</v>
      </c>
      <c r="P293" s="124"/>
      <c r="X293" s="89"/>
      <c r="Y293" s="106"/>
    </row>
    <row r="294" spans="13:25" x14ac:dyDescent="0.3">
      <c r="M294" s="101" t="str">
        <f t="shared" si="4"/>
        <v>----&gt;</v>
      </c>
      <c r="P294" s="124"/>
      <c r="X294" s="89"/>
      <c r="Y294" s="106"/>
    </row>
    <row r="295" spans="13:25" x14ac:dyDescent="0.3">
      <c r="M295" s="101" t="str">
        <f t="shared" si="4"/>
        <v>----&gt;</v>
      </c>
      <c r="P295" s="124"/>
      <c r="X295" s="89"/>
      <c r="Y295" s="106"/>
    </row>
    <row r="296" spans="13:25" x14ac:dyDescent="0.3">
      <c r="M296" s="101" t="str">
        <f t="shared" si="4"/>
        <v>----&gt;</v>
      </c>
      <c r="P296" s="124"/>
      <c r="X296" s="89"/>
      <c r="Y296" s="106"/>
    </row>
    <row r="297" spans="13:25" x14ac:dyDescent="0.3">
      <c r="M297" s="101" t="str">
        <f t="shared" si="4"/>
        <v>----&gt;</v>
      </c>
      <c r="P297" s="124"/>
      <c r="X297" s="89"/>
      <c r="Y297" s="106"/>
    </row>
    <row r="298" spans="13:25" x14ac:dyDescent="0.3">
      <c r="M298" s="101" t="str">
        <f t="shared" si="4"/>
        <v>----&gt;</v>
      </c>
      <c r="P298" s="124"/>
      <c r="X298" s="89"/>
      <c r="Y298" s="106"/>
    </row>
    <row r="299" spans="13:25" x14ac:dyDescent="0.3">
      <c r="M299" s="101" t="str">
        <f t="shared" si="4"/>
        <v>----&gt;</v>
      </c>
      <c r="P299" s="124"/>
      <c r="X299" s="89"/>
      <c r="Y299" s="106"/>
    </row>
    <row r="300" spans="13:25" x14ac:dyDescent="0.3">
      <c r="M300" s="101" t="str">
        <f t="shared" si="4"/>
        <v>----&gt;</v>
      </c>
      <c r="P300" s="124"/>
      <c r="X300" s="89"/>
      <c r="Y300" s="106"/>
    </row>
    <row r="301" spans="13:25" x14ac:dyDescent="0.3">
      <c r="M301" s="101" t="str">
        <f t="shared" si="4"/>
        <v>----&gt;</v>
      </c>
      <c r="P301" s="124"/>
      <c r="X301" s="89"/>
      <c r="Y301" s="106"/>
    </row>
    <row r="302" spans="13:25" x14ac:dyDescent="0.3">
      <c r="M302" s="101" t="str">
        <f t="shared" si="4"/>
        <v>----&gt;</v>
      </c>
      <c r="P302" s="124"/>
      <c r="X302" s="89"/>
      <c r="Y302" s="106"/>
    </row>
    <row r="303" spans="13:25" x14ac:dyDescent="0.3">
      <c r="M303" s="101" t="str">
        <f t="shared" si="4"/>
        <v>----&gt;</v>
      </c>
      <c r="P303" s="124"/>
      <c r="X303" s="89"/>
      <c r="Y303" s="106"/>
    </row>
    <row r="304" spans="13:25" x14ac:dyDescent="0.3">
      <c r="M304" s="101" t="str">
        <f t="shared" si="4"/>
        <v>----&gt;</v>
      </c>
      <c r="P304" s="124"/>
      <c r="X304" s="89"/>
      <c r="Y304" s="106"/>
    </row>
    <row r="305" spans="13:25" x14ac:dyDescent="0.3">
      <c r="M305" s="101" t="str">
        <f t="shared" si="4"/>
        <v>----&gt;</v>
      </c>
      <c r="P305" s="124"/>
      <c r="X305" s="89"/>
      <c r="Y305" s="106"/>
    </row>
    <row r="306" spans="13:25" x14ac:dyDescent="0.3">
      <c r="M306" s="101" t="str">
        <f t="shared" si="4"/>
        <v>----&gt;</v>
      </c>
      <c r="P306" s="124"/>
      <c r="X306" s="89"/>
      <c r="Y306" s="106"/>
    </row>
    <row r="307" spans="13:25" x14ac:dyDescent="0.3">
      <c r="M307" s="101" t="str">
        <f t="shared" si="4"/>
        <v>----&gt;</v>
      </c>
      <c r="Y307" s="106"/>
    </row>
    <row r="308" spans="13:25" x14ac:dyDescent="0.3">
      <c r="M308" s="101" t="str">
        <f t="shared" si="4"/>
        <v>----&gt;</v>
      </c>
      <c r="Y308" s="106"/>
    </row>
    <row r="309" spans="13:25" x14ac:dyDescent="0.3">
      <c r="M309" s="101" t="str">
        <f t="shared" si="4"/>
        <v>----&gt;</v>
      </c>
      <c r="Y309" s="106"/>
    </row>
    <row r="310" spans="13:25" x14ac:dyDescent="0.3">
      <c r="M310" s="101" t="str">
        <f t="shared" si="4"/>
        <v>----&gt;</v>
      </c>
      <c r="Y310" s="106"/>
    </row>
    <row r="311" spans="13:25" x14ac:dyDescent="0.3">
      <c r="M311" s="101" t="str">
        <f t="shared" si="4"/>
        <v>----&gt;</v>
      </c>
      <c r="Y311" s="106"/>
    </row>
    <row r="312" spans="13:25" x14ac:dyDescent="0.3">
      <c r="M312" s="101" t="str">
        <f t="shared" si="4"/>
        <v>----&gt;</v>
      </c>
    </row>
    <row r="313" spans="13:25" x14ac:dyDescent="0.3">
      <c r="M313" s="101" t="str">
        <f t="shared" ref="M313:M323" si="5">"----&gt;"</f>
        <v>----&gt;</v>
      </c>
    </row>
    <row r="314" spans="13:25" x14ac:dyDescent="0.3">
      <c r="M314" s="101" t="str">
        <f t="shared" si="5"/>
        <v>----&gt;</v>
      </c>
    </row>
    <row r="315" spans="13:25" x14ac:dyDescent="0.3">
      <c r="M315" s="101" t="str">
        <f t="shared" si="5"/>
        <v>----&gt;</v>
      </c>
    </row>
    <row r="316" spans="13:25" x14ac:dyDescent="0.3">
      <c r="M316" s="101" t="str">
        <f t="shared" si="5"/>
        <v>----&gt;</v>
      </c>
    </row>
    <row r="317" spans="13:25" x14ac:dyDescent="0.3">
      <c r="M317" s="101" t="str">
        <f t="shared" si="5"/>
        <v>----&gt;</v>
      </c>
    </row>
    <row r="318" spans="13:25" x14ac:dyDescent="0.3">
      <c r="M318" s="101" t="str">
        <f t="shared" si="5"/>
        <v>----&gt;</v>
      </c>
    </row>
    <row r="319" spans="13:25" x14ac:dyDescent="0.3">
      <c r="M319" s="101" t="str">
        <f t="shared" si="5"/>
        <v>----&gt;</v>
      </c>
    </row>
    <row r="320" spans="13:25" x14ac:dyDescent="0.3">
      <c r="M320" s="101" t="str">
        <f t="shared" si="5"/>
        <v>----&gt;</v>
      </c>
    </row>
    <row r="321" spans="13:13" x14ac:dyDescent="0.3">
      <c r="M321" s="101" t="str">
        <f t="shared" si="5"/>
        <v>----&gt;</v>
      </c>
    </row>
    <row r="322" spans="13:13" x14ac:dyDescent="0.3">
      <c r="M322" s="101" t="str">
        <f t="shared" si="5"/>
        <v>----&gt;</v>
      </c>
    </row>
    <row r="323" spans="13:13" x14ac:dyDescent="0.3">
      <c r="M323" s="101" t="str">
        <f t="shared" si="5"/>
        <v>----&gt;</v>
      </c>
    </row>
    <row r="324" spans="13:13" x14ac:dyDescent="0.3">
      <c r="M324" s="101" t="str">
        <f t="shared" ref="M324:M387" si="6">"----&gt;"</f>
        <v>----&gt;</v>
      </c>
    </row>
    <row r="325" spans="13:13" x14ac:dyDescent="0.3">
      <c r="M325" s="101" t="str">
        <f t="shared" si="6"/>
        <v>----&gt;</v>
      </c>
    </row>
    <row r="326" spans="13:13" x14ac:dyDescent="0.3">
      <c r="M326" s="101" t="str">
        <f t="shared" si="6"/>
        <v>----&gt;</v>
      </c>
    </row>
    <row r="327" spans="13:13" x14ac:dyDescent="0.3">
      <c r="M327" s="101" t="str">
        <f t="shared" si="6"/>
        <v>----&gt;</v>
      </c>
    </row>
    <row r="328" spans="13:13" x14ac:dyDescent="0.3">
      <c r="M328" s="101" t="str">
        <f t="shared" si="6"/>
        <v>----&gt;</v>
      </c>
    </row>
    <row r="329" spans="13:13" x14ac:dyDescent="0.3">
      <c r="M329" s="101" t="str">
        <f t="shared" si="6"/>
        <v>----&gt;</v>
      </c>
    </row>
    <row r="330" spans="13:13" x14ac:dyDescent="0.3">
      <c r="M330" s="101" t="str">
        <f t="shared" si="6"/>
        <v>----&gt;</v>
      </c>
    </row>
    <row r="331" spans="13:13" x14ac:dyDescent="0.3">
      <c r="M331" s="101" t="str">
        <f t="shared" si="6"/>
        <v>----&gt;</v>
      </c>
    </row>
    <row r="332" spans="13:13" x14ac:dyDescent="0.3">
      <c r="M332" s="101" t="str">
        <f t="shared" si="6"/>
        <v>----&gt;</v>
      </c>
    </row>
    <row r="333" spans="13:13" x14ac:dyDescent="0.3">
      <c r="M333" s="101" t="str">
        <f t="shared" si="6"/>
        <v>----&gt;</v>
      </c>
    </row>
    <row r="334" spans="13:13" x14ac:dyDescent="0.3">
      <c r="M334" s="101" t="str">
        <f t="shared" si="6"/>
        <v>----&gt;</v>
      </c>
    </row>
    <row r="335" spans="13:13" x14ac:dyDescent="0.3">
      <c r="M335" s="101" t="str">
        <f t="shared" si="6"/>
        <v>----&gt;</v>
      </c>
    </row>
    <row r="336" spans="13:13" x14ac:dyDescent="0.3">
      <c r="M336" s="101" t="str">
        <f t="shared" si="6"/>
        <v>----&gt;</v>
      </c>
    </row>
    <row r="337" spans="13:13" x14ac:dyDescent="0.3">
      <c r="M337" s="101" t="str">
        <f t="shared" si="6"/>
        <v>----&gt;</v>
      </c>
    </row>
    <row r="338" spans="13:13" x14ac:dyDescent="0.3">
      <c r="M338" s="101" t="str">
        <f t="shared" si="6"/>
        <v>----&gt;</v>
      </c>
    </row>
    <row r="339" spans="13:13" x14ac:dyDescent="0.3">
      <c r="M339" s="101" t="str">
        <f t="shared" si="6"/>
        <v>----&gt;</v>
      </c>
    </row>
    <row r="340" spans="13:13" x14ac:dyDescent="0.3">
      <c r="M340" s="101" t="str">
        <f t="shared" si="6"/>
        <v>----&gt;</v>
      </c>
    </row>
    <row r="341" spans="13:13" x14ac:dyDescent="0.3">
      <c r="M341" s="101" t="str">
        <f t="shared" si="6"/>
        <v>----&gt;</v>
      </c>
    </row>
    <row r="342" spans="13:13" x14ac:dyDescent="0.3">
      <c r="M342" s="101" t="str">
        <f t="shared" si="6"/>
        <v>----&gt;</v>
      </c>
    </row>
    <row r="343" spans="13:13" x14ac:dyDescent="0.3">
      <c r="M343" s="101" t="str">
        <f t="shared" si="6"/>
        <v>----&gt;</v>
      </c>
    </row>
    <row r="344" spans="13:13" x14ac:dyDescent="0.3">
      <c r="M344" s="101" t="str">
        <f t="shared" si="6"/>
        <v>----&gt;</v>
      </c>
    </row>
    <row r="345" spans="13:13" x14ac:dyDescent="0.3">
      <c r="M345" s="101" t="str">
        <f t="shared" si="6"/>
        <v>----&gt;</v>
      </c>
    </row>
    <row r="346" spans="13:13" x14ac:dyDescent="0.3">
      <c r="M346" s="101" t="str">
        <f t="shared" si="6"/>
        <v>----&gt;</v>
      </c>
    </row>
    <row r="347" spans="13:13" x14ac:dyDescent="0.3">
      <c r="M347" s="101" t="str">
        <f t="shared" si="6"/>
        <v>----&gt;</v>
      </c>
    </row>
    <row r="348" spans="13:13" x14ac:dyDescent="0.3">
      <c r="M348" s="101" t="str">
        <f t="shared" si="6"/>
        <v>----&gt;</v>
      </c>
    </row>
    <row r="349" spans="13:13" x14ac:dyDescent="0.3">
      <c r="M349" s="101" t="str">
        <f t="shared" si="6"/>
        <v>----&gt;</v>
      </c>
    </row>
    <row r="350" spans="13:13" x14ac:dyDescent="0.3">
      <c r="M350" s="101" t="str">
        <f t="shared" si="6"/>
        <v>----&gt;</v>
      </c>
    </row>
    <row r="351" spans="13:13" x14ac:dyDescent="0.3">
      <c r="M351" s="101" t="str">
        <f t="shared" si="6"/>
        <v>----&gt;</v>
      </c>
    </row>
    <row r="352" spans="13:13" x14ac:dyDescent="0.3">
      <c r="M352" s="101" t="str">
        <f t="shared" si="6"/>
        <v>----&gt;</v>
      </c>
    </row>
    <row r="353" spans="13:13" x14ac:dyDescent="0.3">
      <c r="M353" s="101" t="str">
        <f t="shared" si="6"/>
        <v>----&gt;</v>
      </c>
    </row>
    <row r="354" spans="13:13" x14ac:dyDescent="0.3">
      <c r="M354" s="101" t="str">
        <f t="shared" si="6"/>
        <v>----&gt;</v>
      </c>
    </row>
    <row r="355" spans="13:13" x14ac:dyDescent="0.3">
      <c r="M355" s="101" t="str">
        <f t="shared" si="6"/>
        <v>----&gt;</v>
      </c>
    </row>
    <row r="356" spans="13:13" x14ac:dyDescent="0.3">
      <c r="M356" s="101" t="str">
        <f t="shared" si="6"/>
        <v>----&gt;</v>
      </c>
    </row>
    <row r="357" spans="13:13" x14ac:dyDescent="0.3">
      <c r="M357" s="101" t="str">
        <f t="shared" si="6"/>
        <v>----&gt;</v>
      </c>
    </row>
    <row r="358" spans="13:13" x14ac:dyDescent="0.3">
      <c r="M358" s="101" t="str">
        <f t="shared" si="6"/>
        <v>----&gt;</v>
      </c>
    </row>
    <row r="359" spans="13:13" x14ac:dyDescent="0.3">
      <c r="M359" s="101" t="str">
        <f t="shared" si="6"/>
        <v>----&gt;</v>
      </c>
    </row>
    <row r="360" spans="13:13" x14ac:dyDescent="0.3">
      <c r="M360" s="101" t="str">
        <f t="shared" si="6"/>
        <v>----&gt;</v>
      </c>
    </row>
    <row r="361" spans="13:13" x14ac:dyDescent="0.3">
      <c r="M361" s="101" t="str">
        <f t="shared" si="6"/>
        <v>----&gt;</v>
      </c>
    </row>
    <row r="362" spans="13:13" x14ac:dyDescent="0.3">
      <c r="M362" s="101" t="str">
        <f t="shared" si="6"/>
        <v>----&gt;</v>
      </c>
    </row>
    <row r="363" spans="13:13" x14ac:dyDescent="0.3">
      <c r="M363" s="101" t="str">
        <f t="shared" si="6"/>
        <v>----&gt;</v>
      </c>
    </row>
    <row r="364" spans="13:13" x14ac:dyDescent="0.3">
      <c r="M364" s="101" t="str">
        <f t="shared" si="6"/>
        <v>----&gt;</v>
      </c>
    </row>
    <row r="365" spans="13:13" x14ac:dyDescent="0.3">
      <c r="M365" s="101" t="str">
        <f t="shared" si="6"/>
        <v>----&gt;</v>
      </c>
    </row>
    <row r="366" spans="13:13" x14ac:dyDescent="0.3">
      <c r="M366" s="101" t="str">
        <f t="shared" si="6"/>
        <v>----&gt;</v>
      </c>
    </row>
    <row r="367" spans="13:13" x14ac:dyDescent="0.3">
      <c r="M367" s="101" t="str">
        <f t="shared" si="6"/>
        <v>----&gt;</v>
      </c>
    </row>
    <row r="368" spans="13:13" x14ac:dyDescent="0.3">
      <c r="M368" s="101" t="str">
        <f t="shared" si="6"/>
        <v>----&gt;</v>
      </c>
    </row>
    <row r="369" spans="13:13" x14ac:dyDescent="0.3">
      <c r="M369" s="101" t="str">
        <f t="shared" si="6"/>
        <v>----&gt;</v>
      </c>
    </row>
    <row r="370" spans="13:13" x14ac:dyDescent="0.3">
      <c r="M370" s="101" t="str">
        <f t="shared" si="6"/>
        <v>----&gt;</v>
      </c>
    </row>
    <row r="371" spans="13:13" x14ac:dyDescent="0.3">
      <c r="M371" s="101" t="str">
        <f t="shared" si="6"/>
        <v>----&gt;</v>
      </c>
    </row>
    <row r="372" spans="13:13" x14ac:dyDescent="0.3">
      <c r="M372" s="101" t="str">
        <f t="shared" si="6"/>
        <v>----&gt;</v>
      </c>
    </row>
    <row r="373" spans="13:13" x14ac:dyDescent="0.3">
      <c r="M373" s="101" t="str">
        <f t="shared" si="6"/>
        <v>----&gt;</v>
      </c>
    </row>
    <row r="374" spans="13:13" x14ac:dyDescent="0.3">
      <c r="M374" s="101" t="str">
        <f t="shared" si="6"/>
        <v>----&gt;</v>
      </c>
    </row>
    <row r="375" spans="13:13" x14ac:dyDescent="0.3">
      <c r="M375" s="101" t="str">
        <f t="shared" si="6"/>
        <v>----&gt;</v>
      </c>
    </row>
    <row r="376" spans="13:13" x14ac:dyDescent="0.3">
      <c r="M376" s="101" t="str">
        <f t="shared" si="6"/>
        <v>----&gt;</v>
      </c>
    </row>
    <row r="377" spans="13:13" x14ac:dyDescent="0.3">
      <c r="M377" s="101" t="str">
        <f t="shared" si="6"/>
        <v>----&gt;</v>
      </c>
    </row>
    <row r="378" spans="13:13" x14ac:dyDescent="0.3">
      <c r="M378" s="101" t="str">
        <f t="shared" si="6"/>
        <v>----&gt;</v>
      </c>
    </row>
    <row r="379" spans="13:13" x14ac:dyDescent="0.3">
      <c r="M379" s="101" t="str">
        <f t="shared" si="6"/>
        <v>----&gt;</v>
      </c>
    </row>
    <row r="380" spans="13:13" x14ac:dyDescent="0.3">
      <c r="M380" s="101" t="str">
        <f t="shared" si="6"/>
        <v>----&gt;</v>
      </c>
    </row>
    <row r="381" spans="13:13" x14ac:dyDescent="0.3">
      <c r="M381" s="101" t="str">
        <f t="shared" si="6"/>
        <v>----&gt;</v>
      </c>
    </row>
    <row r="382" spans="13:13" x14ac:dyDescent="0.3">
      <c r="M382" s="101" t="str">
        <f t="shared" si="6"/>
        <v>----&gt;</v>
      </c>
    </row>
    <row r="383" spans="13:13" x14ac:dyDescent="0.3">
      <c r="M383" s="101" t="str">
        <f t="shared" si="6"/>
        <v>----&gt;</v>
      </c>
    </row>
    <row r="384" spans="13:13" x14ac:dyDescent="0.3">
      <c r="M384" s="101" t="str">
        <f t="shared" si="6"/>
        <v>----&gt;</v>
      </c>
    </row>
    <row r="385" spans="13:13" x14ac:dyDescent="0.3">
      <c r="M385" s="101" t="str">
        <f t="shared" si="6"/>
        <v>----&gt;</v>
      </c>
    </row>
    <row r="386" spans="13:13" x14ac:dyDescent="0.3">
      <c r="M386" s="101" t="str">
        <f t="shared" si="6"/>
        <v>----&gt;</v>
      </c>
    </row>
    <row r="387" spans="13:13" x14ac:dyDescent="0.3">
      <c r="M387" s="101" t="str">
        <f t="shared" si="6"/>
        <v>----&gt;</v>
      </c>
    </row>
    <row r="388" spans="13:13" x14ac:dyDescent="0.3">
      <c r="M388" s="101" t="str">
        <f t="shared" ref="M388:M451" si="7">"----&gt;"</f>
        <v>----&gt;</v>
      </c>
    </row>
    <row r="389" spans="13:13" x14ac:dyDescent="0.3">
      <c r="M389" s="101" t="str">
        <f t="shared" si="7"/>
        <v>----&gt;</v>
      </c>
    </row>
    <row r="390" spans="13:13" x14ac:dyDescent="0.3">
      <c r="M390" s="101" t="str">
        <f t="shared" si="7"/>
        <v>----&gt;</v>
      </c>
    </row>
    <row r="391" spans="13:13" x14ac:dyDescent="0.3">
      <c r="M391" s="101" t="str">
        <f t="shared" si="7"/>
        <v>----&gt;</v>
      </c>
    </row>
    <row r="392" spans="13:13" x14ac:dyDescent="0.3">
      <c r="M392" s="101" t="str">
        <f t="shared" si="7"/>
        <v>----&gt;</v>
      </c>
    </row>
    <row r="393" spans="13:13" x14ac:dyDescent="0.3">
      <c r="M393" s="101" t="str">
        <f t="shared" si="7"/>
        <v>----&gt;</v>
      </c>
    </row>
    <row r="394" spans="13:13" x14ac:dyDescent="0.3">
      <c r="M394" s="101" t="str">
        <f t="shared" si="7"/>
        <v>----&gt;</v>
      </c>
    </row>
    <row r="395" spans="13:13" x14ac:dyDescent="0.3">
      <c r="M395" s="101" t="str">
        <f t="shared" si="7"/>
        <v>----&gt;</v>
      </c>
    </row>
    <row r="396" spans="13:13" x14ac:dyDescent="0.3">
      <c r="M396" s="101" t="str">
        <f t="shared" si="7"/>
        <v>----&gt;</v>
      </c>
    </row>
    <row r="397" spans="13:13" x14ac:dyDescent="0.3">
      <c r="M397" s="101" t="str">
        <f t="shared" si="7"/>
        <v>----&gt;</v>
      </c>
    </row>
    <row r="398" spans="13:13" x14ac:dyDescent="0.3">
      <c r="M398" s="101" t="str">
        <f t="shared" si="7"/>
        <v>----&gt;</v>
      </c>
    </row>
    <row r="399" spans="13:13" x14ac:dyDescent="0.3">
      <c r="M399" s="101" t="str">
        <f t="shared" si="7"/>
        <v>----&gt;</v>
      </c>
    </row>
    <row r="400" spans="13:13" x14ac:dyDescent="0.3">
      <c r="M400" s="101" t="str">
        <f t="shared" si="7"/>
        <v>----&gt;</v>
      </c>
    </row>
    <row r="401" spans="13:13" x14ac:dyDescent="0.3">
      <c r="M401" s="101" t="str">
        <f t="shared" si="7"/>
        <v>----&gt;</v>
      </c>
    </row>
    <row r="402" spans="13:13" x14ac:dyDescent="0.3">
      <c r="M402" s="101" t="str">
        <f t="shared" si="7"/>
        <v>----&gt;</v>
      </c>
    </row>
    <row r="403" spans="13:13" x14ac:dyDescent="0.3">
      <c r="M403" s="101" t="str">
        <f t="shared" si="7"/>
        <v>----&gt;</v>
      </c>
    </row>
    <row r="404" spans="13:13" x14ac:dyDescent="0.3">
      <c r="M404" s="101" t="str">
        <f t="shared" si="7"/>
        <v>----&gt;</v>
      </c>
    </row>
    <row r="405" spans="13:13" x14ac:dyDescent="0.3">
      <c r="M405" s="101" t="str">
        <f t="shared" si="7"/>
        <v>----&gt;</v>
      </c>
    </row>
    <row r="406" spans="13:13" x14ac:dyDescent="0.3">
      <c r="M406" s="101" t="str">
        <f t="shared" si="7"/>
        <v>----&gt;</v>
      </c>
    </row>
    <row r="407" spans="13:13" x14ac:dyDescent="0.3">
      <c r="M407" s="101" t="str">
        <f t="shared" si="7"/>
        <v>----&gt;</v>
      </c>
    </row>
    <row r="408" spans="13:13" x14ac:dyDescent="0.3">
      <c r="M408" s="101" t="str">
        <f t="shared" si="7"/>
        <v>----&gt;</v>
      </c>
    </row>
    <row r="409" spans="13:13" x14ac:dyDescent="0.3">
      <c r="M409" s="101" t="str">
        <f t="shared" si="7"/>
        <v>----&gt;</v>
      </c>
    </row>
    <row r="410" spans="13:13" x14ac:dyDescent="0.3">
      <c r="M410" s="101" t="str">
        <f t="shared" si="7"/>
        <v>----&gt;</v>
      </c>
    </row>
    <row r="411" spans="13:13" x14ac:dyDescent="0.3">
      <c r="M411" s="101" t="str">
        <f t="shared" si="7"/>
        <v>----&gt;</v>
      </c>
    </row>
    <row r="412" spans="13:13" x14ac:dyDescent="0.3">
      <c r="M412" s="101" t="str">
        <f t="shared" si="7"/>
        <v>----&gt;</v>
      </c>
    </row>
    <row r="413" spans="13:13" x14ac:dyDescent="0.3">
      <c r="M413" s="101" t="str">
        <f t="shared" si="7"/>
        <v>----&gt;</v>
      </c>
    </row>
    <row r="414" spans="13:13" x14ac:dyDescent="0.3">
      <c r="M414" s="101" t="str">
        <f t="shared" si="7"/>
        <v>----&gt;</v>
      </c>
    </row>
    <row r="415" spans="13:13" x14ac:dyDescent="0.3">
      <c r="M415" s="101" t="str">
        <f t="shared" si="7"/>
        <v>----&gt;</v>
      </c>
    </row>
    <row r="416" spans="13:13" x14ac:dyDescent="0.3">
      <c r="M416" s="101" t="str">
        <f t="shared" si="7"/>
        <v>----&gt;</v>
      </c>
    </row>
    <row r="417" spans="13:13" x14ac:dyDescent="0.3">
      <c r="M417" s="101" t="str">
        <f t="shared" si="7"/>
        <v>----&gt;</v>
      </c>
    </row>
    <row r="418" spans="13:13" x14ac:dyDescent="0.3">
      <c r="M418" s="101" t="str">
        <f t="shared" si="7"/>
        <v>----&gt;</v>
      </c>
    </row>
    <row r="419" spans="13:13" x14ac:dyDescent="0.3">
      <c r="M419" s="101" t="str">
        <f t="shared" si="7"/>
        <v>----&gt;</v>
      </c>
    </row>
    <row r="420" spans="13:13" x14ac:dyDescent="0.3">
      <c r="M420" s="101" t="str">
        <f t="shared" si="7"/>
        <v>----&gt;</v>
      </c>
    </row>
    <row r="421" spans="13:13" x14ac:dyDescent="0.3">
      <c r="M421" s="101" t="str">
        <f t="shared" si="7"/>
        <v>----&gt;</v>
      </c>
    </row>
    <row r="422" spans="13:13" x14ac:dyDescent="0.3">
      <c r="M422" s="101" t="str">
        <f t="shared" si="7"/>
        <v>----&gt;</v>
      </c>
    </row>
    <row r="423" spans="13:13" x14ac:dyDescent="0.3">
      <c r="M423" s="101" t="str">
        <f t="shared" si="7"/>
        <v>----&gt;</v>
      </c>
    </row>
    <row r="424" spans="13:13" x14ac:dyDescent="0.3">
      <c r="M424" s="101" t="str">
        <f t="shared" si="7"/>
        <v>----&gt;</v>
      </c>
    </row>
    <row r="425" spans="13:13" x14ac:dyDescent="0.3">
      <c r="M425" s="101" t="str">
        <f t="shared" si="7"/>
        <v>----&gt;</v>
      </c>
    </row>
    <row r="426" spans="13:13" x14ac:dyDescent="0.3">
      <c r="M426" s="101" t="str">
        <f t="shared" si="7"/>
        <v>----&gt;</v>
      </c>
    </row>
    <row r="427" spans="13:13" x14ac:dyDescent="0.3">
      <c r="M427" s="101" t="str">
        <f t="shared" si="7"/>
        <v>----&gt;</v>
      </c>
    </row>
    <row r="428" spans="13:13" x14ac:dyDescent="0.3">
      <c r="M428" s="101" t="str">
        <f t="shared" si="7"/>
        <v>----&gt;</v>
      </c>
    </row>
    <row r="429" spans="13:13" x14ac:dyDescent="0.3">
      <c r="M429" s="101" t="str">
        <f t="shared" si="7"/>
        <v>----&gt;</v>
      </c>
    </row>
    <row r="430" spans="13:13" x14ac:dyDescent="0.3">
      <c r="M430" s="101" t="str">
        <f t="shared" si="7"/>
        <v>----&gt;</v>
      </c>
    </row>
    <row r="431" spans="13:13" x14ac:dyDescent="0.3">
      <c r="M431" s="101" t="str">
        <f t="shared" si="7"/>
        <v>----&gt;</v>
      </c>
    </row>
    <row r="432" spans="13:13" x14ac:dyDescent="0.3">
      <c r="M432" s="101" t="str">
        <f t="shared" si="7"/>
        <v>----&gt;</v>
      </c>
    </row>
    <row r="433" spans="13:13" x14ac:dyDescent="0.3">
      <c r="M433" s="101" t="str">
        <f t="shared" si="7"/>
        <v>----&gt;</v>
      </c>
    </row>
    <row r="434" spans="13:13" x14ac:dyDescent="0.3">
      <c r="M434" s="101" t="str">
        <f t="shared" si="7"/>
        <v>----&gt;</v>
      </c>
    </row>
    <row r="435" spans="13:13" x14ac:dyDescent="0.3">
      <c r="M435" s="101" t="str">
        <f t="shared" si="7"/>
        <v>----&gt;</v>
      </c>
    </row>
    <row r="436" spans="13:13" x14ac:dyDescent="0.3">
      <c r="M436" s="101" t="str">
        <f t="shared" si="7"/>
        <v>----&gt;</v>
      </c>
    </row>
    <row r="437" spans="13:13" x14ac:dyDescent="0.3">
      <c r="M437" s="101" t="str">
        <f t="shared" si="7"/>
        <v>----&gt;</v>
      </c>
    </row>
    <row r="438" spans="13:13" x14ac:dyDescent="0.3">
      <c r="M438" s="101" t="str">
        <f t="shared" si="7"/>
        <v>----&gt;</v>
      </c>
    </row>
    <row r="439" spans="13:13" x14ac:dyDescent="0.3">
      <c r="M439" s="101" t="str">
        <f t="shared" si="7"/>
        <v>----&gt;</v>
      </c>
    </row>
    <row r="440" spans="13:13" x14ac:dyDescent="0.3">
      <c r="M440" s="101" t="str">
        <f t="shared" si="7"/>
        <v>----&gt;</v>
      </c>
    </row>
    <row r="441" spans="13:13" x14ac:dyDescent="0.3">
      <c r="M441" s="101" t="str">
        <f t="shared" si="7"/>
        <v>----&gt;</v>
      </c>
    </row>
    <row r="442" spans="13:13" x14ac:dyDescent="0.3">
      <c r="M442" s="101" t="str">
        <f t="shared" si="7"/>
        <v>----&gt;</v>
      </c>
    </row>
    <row r="443" spans="13:13" x14ac:dyDescent="0.3">
      <c r="M443" s="101" t="str">
        <f t="shared" si="7"/>
        <v>----&gt;</v>
      </c>
    </row>
    <row r="444" spans="13:13" x14ac:dyDescent="0.3">
      <c r="M444" s="101" t="str">
        <f t="shared" si="7"/>
        <v>----&gt;</v>
      </c>
    </row>
    <row r="445" spans="13:13" x14ac:dyDescent="0.3">
      <c r="M445" s="101" t="str">
        <f t="shared" si="7"/>
        <v>----&gt;</v>
      </c>
    </row>
    <row r="446" spans="13:13" x14ac:dyDescent="0.3">
      <c r="M446" s="101" t="str">
        <f t="shared" si="7"/>
        <v>----&gt;</v>
      </c>
    </row>
    <row r="447" spans="13:13" x14ac:dyDescent="0.3">
      <c r="M447" s="101" t="str">
        <f t="shared" si="7"/>
        <v>----&gt;</v>
      </c>
    </row>
    <row r="448" spans="13:13" x14ac:dyDescent="0.3">
      <c r="M448" s="101" t="str">
        <f t="shared" si="7"/>
        <v>----&gt;</v>
      </c>
    </row>
    <row r="449" spans="13:13" x14ac:dyDescent="0.3">
      <c r="M449" s="101" t="str">
        <f t="shared" si="7"/>
        <v>----&gt;</v>
      </c>
    </row>
    <row r="450" spans="13:13" x14ac:dyDescent="0.3">
      <c r="M450" s="101" t="str">
        <f t="shared" si="7"/>
        <v>----&gt;</v>
      </c>
    </row>
    <row r="451" spans="13:13" x14ac:dyDescent="0.3">
      <c r="M451" s="101" t="str">
        <f t="shared" si="7"/>
        <v>----&gt;</v>
      </c>
    </row>
    <row r="452" spans="13:13" x14ac:dyDescent="0.3">
      <c r="M452" s="101" t="str">
        <f t="shared" ref="M452:M515" si="8">"----&gt;"</f>
        <v>----&gt;</v>
      </c>
    </row>
    <row r="453" spans="13:13" x14ac:dyDescent="0.3">
      <c r="M453" s="101" t="str">
        <f t="shared" si="8"/>
        <v>----&gt;</v>
      </c>
    </row>
    <row r="454" spans="13:13" x14ac:dyDescent="0.3">
      <c r="M454" s="101" t="str">
        <f t="shared" si="8"/>
        <v>----&gt;</v>
      </c>
    </row>
    <row r="455" spans="13:13" x14ac:dyDescent="0.3">
      <c r="M455" s="101" t="str">
        <f t="shared" si="8"/>
        <v>----&gt;</v>
      </c>
    </row>
    <row r="456" spans="13:13" x14ac:dyDescent="0.3">
      <c r="M456" s="101" t="str">
        <f t="shared" si="8"/>
        <v>----&gt;</v>
      </c>
    </row>
    <row r="457" spans="13:13" x14ac:dyDescent="0.3">
      <c r="M457" s="101" t="str">
        <f t="shared" si="8"/>
        <v>----&gt;</v>
      </c>
    </row>
    <row r="458" spans="13:13" x14ac:dyDescent="0.3">
      <c r="M458" s="101" t="str">
        <f t="shared" si="8"/>
        <v>----&gt;</v>
      </c>
    </row>
    <row r="459" spans="13:13" x14ac:dyDescent="0.3">
      <c r="M459" s="101" t="str">
        <f t="shared" si="8"/>
        <v>----&gt;</v>
      </c>
    </row>
    <row r="460" spans="13:13" x14ac:dyDescent="0.3">
      <c r="M460" s="101" t="str">
        <f t="shared" si="8"/>
        <v>----&gt;</v>
      </c>
    </row>
    <row r="461" spans="13:13" x14ac:dyDescent="0.3">
      <c r="M461" s="101" t="str">
        <f t="shared" si="8"/>
        <v>----&gt;</v>
      </c>
    </row>
    <row r="462" spans="13:13" x14ac:dyDescent="0.3">
      <c r="M462" s="101" t="str">
        <f t="shared" si="8"/>
        <v>----&gt;</v>
      </c>
    </row>
    <row r="463" spans="13:13" x14ac:dyDescent="0.3">
      <c r="M463" s="101" t="str">
        <f t="shared" si="8"/>
        <v>----&gt;</v>
      </c>
    </row>
    <row r="464" spans="13:13" x14ac:dyDescent="0.3">
      <c r="M464" s="101" t="str">
        <f t="shared" si="8"/>
        <v>----&gt;</v>
      </c>
    </row>
    <row r="465" spans="13:13" x14ac:dyDescent="0.3">
      <c r="M465" s="101" t="str">
        <f t="shared" si="8"/>
        <v>----&gt;</v>
      </c>
    </row>
    <row r="466" spans="13:13" x14ac:dyDescent="0.3">
      <c r="M466" s="101" t="str">
        <f t="shared" si="8"/>
        <v>----&gt;</v>
      </c>
    </row>
    <row r="467" spans="13:13" x14ac:dyDescent="0.3">
      <c r="M467" s="101" t="str">
        <f t="shared" si="8"/>
        <v>----&gt;</v>
      </c>
    </row>
    <row r="468" spans="13:13" x14ac:dyDescent="0.3">
      <c r="M468" s="101" t="str">
        <f t="shared" si="8"/>
        <v>----&gt;</v>
      </c>
    </row>
    <row r="469" spans="13:13" x14ac:dyDescent="0.3">
      <c r="M469" s="101" t="str">
        <f t="shared" si="8"/>
        <v>----&gt;</v>
      </c>
    </row>
    <row r="470" spans="13:13" x14ac:dyDescent="0.3">
      <c r="M470" s="101" t="str">
        <f t="shared" si="8"/>
        <v>----&gt;</v>
      </c>
    </row>
    <row r="471" spans="13:13" x14ac:dyDescent="0.3">
      <c r="M471" s="101" t="str">
        <f t="shared" si="8"/>
        <v>----&gt;</v>
      </c>
    </row>
    <row r="472" spans="13:13" x14ac:dyDescent="0.3">
      <c r="M472" s="101" t="str">
        <f t="shared" si="8"/>
        <v>----&gt;</v>
      </c>
    </row>
    <row r="473" spans="13:13" x14ac:dyDescent="0.3">
      <c r="M473" s="101" t="str">
        <f t="shared" si="8"/>
        <v>----&gt;</v>
      </c>
    </row>
    <row r="474" spans="13:13" x14ac:dyDescent="0.3">
      <c r="M474" s="101" t="str">
        <f t="shared" si="8"/>
        <v>----&gt;</v>
      </c>
    </row>
    <row r="475" spans="13:13" x14ac:dyDescent="0.3">
      <c r="M475" s="101" t="str">
        <f t="shared" si="8"/>
        <v>----&gt;</v>
      </c>
    </row>
    <row r="476" spans="13:13" x14ac:dyDescent="0.3">
      <c r="M476" s="101" t="str">
        <f t="shared" si="8"/>
        <v>----&gt;</v>
      </c>
    </row>
    <row r="477" spans="13:13" x14ac:dyDescent="0.3">
      <c r="M477" s="101" t="str">
        <f t="shared" si="8"/>
        <v>----&gt;</v>
      </c>
    </row>
    <row r="478" spans="13:13" x14ac:dyDescent="0.3">
      <c r="M478" s="101" t="str">
        <f t="shared" si="8"/>
        <v>----&gt;</v>
      </c>
    </row>
    <row r="479" spans="13:13" x14ac:dyDescent="0.3">
      <c r="M479" s="101" t="str">
        <f t="shared" si="8"/>
        <v>----&gt;</v>
      </c>
    </row>
    <row r="480" spans="13:13" x14ac:dyDescent="0.3">
      <c r="M480" s="101" t="str">
        <f t="shared" si="8"/>
        <v>----&gt;</v>
      </c>
    </row>
    <row r="481" spans="13:13" x14ac:dyDescent="0.3">
      <c r="M481" s="101" t="str">
        <f t="shared" si="8"/>
        <v>----&gt;</v>
      </c>
    </row>
    <row r="482" spans="13:13" x14ac:dyDescent="0.3">
      <c r="M482" s="101" t="str">
        <f t="shared" si="8"/>
        <v>----&gt;</v>
      </c>
    </row>
    <row r="483" spans="13:13" x14ac:dyDescent="0.3">
      <c r="M483" s="101" t="str">
        <f t="shared" si="8"/>
        <v>----&gt;</v>
      </c>
    </row>
    <row r="484" spans="13:13" x14ac:dyDescent="0.3">
      <c r="M484" s="101" t="str">
        <f t="shared" si="8"/>
        <v>----&gt;</v>
      </c>
    </row>
    <row r="485" spans="13:13" x14ac:dyDescent="0.3">
      <c r="M485" s="101" t="str">
        <f t="shared" si="8"/>
        <v>----&gt;</v>
      </c>
    </row>
    <row r="486" spans="13:13" x14ac:dyDescent="0.3">
      <c r="M486" s="101" t="str">
        <f t="shared" si="8"/>
        <v>----&gt;</v>
      </c>
    </row>
    <row r="487" spans="13:13" x14ac:dyDescent="0.3">
      <c r="M487" s="101" t="str">
        <f t="shared" si="8"/>
        <v>----&gt;</v>
      </c>
    </row>
    <row r="488" spans="13:13" x14ac:dyDescent="0.3">
      <c r="M488" s="101" t="str">
        <f t="shared" si="8"/>
        <v>----&gt;</v>
      </c>
    </row>
    <row r="489" spans="13:13" x14ac:dyDescent="0.3">
      <c r="M489" s="101" t="str">
        <f t="shared" si="8"/>
        <v>----&gt;</v>
      </c>
    </row>
    <row r="490" spans="13:13" x14ac:dyDescent="0.3">
      <c r="M490" s="101" t="str">
        <f t="shared" si="8"/>
        <v>----&gt;</v>
      </c>
    </row>
    <row r="491" spans="13:13" x14ac:dyDescent="0.3">
      <c r="M491" s="101" t="str">
        <f t="shared" si="8"/>
        <v>----&gt;</v>
      </c>
    </row>
    <row r="492" spans="13:13" x14ac:dyDescent="0.3">
      <c r="M492" s="101" t="str">
        <f t="shared" si="8"/>
        <v>----&gt;</v>
      </c>
    </row>
    <row r="493" spans="13:13" x14ac:dyDescent="0.3">
      <c r="M493" s="101" t="str">
        <f t="shared" si="8"/>
        <v>----&gt;</v>
      </c>
    </row>
    <row r="494" spans="13:13" x14ac:dyDescent="0.3">
      <c r="M494" s="101" t="str">
        <f t="shared" si="8"/>
        <v>----&gt;</v>
      </c>
    </row>
    <row r="495" spans="13:13" x14ac:dyDescent="0.3">
      <c r="M495" s="101" t="str">
        <f t="shared" si="8"/>
        <v>----&gt;</v>
      </c>
    </row>
    <row r="496" spans="13:13" x14ac:dyDescent="0.3">
      <c r="M496" s="101" t="str">
        <f t="shared" si="8"/>
        <v>----&gt;</v>
      </c>
    </row>
    <row r="497" spans="13:13" x14ac:dyDescent="0.3">
      <c r="M497" s="101" t="str">
        <f t="shared" si="8"/>
        <v>----&gt;</v>
      </c>
    </row>
    <row r="498" spans="13:13" x14ac:dyDescent="0.3">
      <c r="M498" s="101" t="str">
        <f t="shared" si="8"/>
        <v>----&gt;</v>
      </c>
    </row>
    <row r="499" spans="13:13" x14ac:dyDescent="0.3">
      <c r="M499" s="101" t="str">
        <f t="shared" si="8"/>
        <v>----&gt;</v>
      </c>
    </row>
    <row r="500" spans="13:13" x14ac:dyDescent="0.3">
      <c r="M500" s="101" t="str">
        <f t="shared" si="8"/>
        <v>----&gt;</v>
      </c>
    </row>
    <row r="501" spans="13:13" x14ac:dyDescent="0.3">
      <c r="M501" s="101" t="str">
        <f t="shared" si="8"/>
        <v>----&gt;</v>
      </c>
    </row>
    <row r="502" spans="13:13" x14ac:dyDescent="0.3">
      <c r="M502" s="101" t="str">
        <f t="shared" si="8"/>
        <v>----&gt;</v>
      </c>
    </row>
    <row r="503" spans="13:13" x14ac:dyDescent="0.3">
      <c r="M503" s="101" t="str">
        <f t="shared" si="8"/>
        <v>----&gt;</v>
      </c>
    </row>
    <row r="504" spans="13:13" x14ac:dyDescent="0.3">
      <c r="M504" s="101" t="str">
        <f t="shared" si="8"/>
        <v>----&gt;</v>
      </c>
    </row>
    <row r="505" spans="13:13" x14ac:dyDescent="0.3">
      <c r="M505" s="101" t="str">
        <f t="shared" si="8"/>
        <v>----&gt;</v>
      </c>
    </row>
    <row r="506" spans="13:13" x14ac:dyDescent="0.3">
      <c r="M506" s="101" t="str">
        <f t="shared" si="8"/>
        <v>----&gt;</v>
      </c>
    </row>
    <row r="507" spans="13:13" x14ac:dyDescent="0.3">
      <c r="M507" s="101" t="str">
        <f t="shared" si="8"/>
        <v>----&gt;</v>
      </c>
    </row>
    <row r="508" spans="13:13" x14ac:dyDescent="0.3">
      <c r="M508" s="101" t="str">
        <f t="shared" si="8"/>
        <v>----&gt;</v>
      </c>
    </row>
    <row r="509" spans="13:13" x14ac:dyDescent="0.3">
      <c r="M509" s="101" t="str">
        <f t="shared" si="8"/>
        <v>----&gt;</v>
      </c>
    </row>
    <row r="510" spans="13:13" x14ac:dyDescent="0.3">
      <c r="M510" s="101" t="str">
        <f t="shared" si="8"/>
        <v>----&gt;</v>
      </c>
    </row>
    <row r="511" spans="13:13" x14ac:dyDescent="0.3">
      <c r="M511" s="101" t="str">
        <f t="shared" si="8"/>
        <v>----&gt;</v>
      </c>
    </row>
    <row r="512" spans="13:13" x14ac:dyDescent="0.3">
      <c r="M512" s="101" t="str">
        <f t="shared" si="8"/>
        <v>----&gt;</v>
      </c>
    </row>
    <row r="513" spans="13:13" x14ac:dyDescent="0.3">
      <c r="M513" s="101" t="str">
        <f t="shared" si="8"/>
        <v>----&gt;</v>
      </c>
    </row>
    <row r="514" spans="13:13" x14ac:dyDescent="0.3">
      <c r="M514" s="101" t="str">
        <f t="shared" si="8"/>
        <v>----&gt;</v>
      </c>
    </row>
    <row r="515" spans="13:13" x14ac:dyDescent="0.3">
      <c r="M515" s="101" t="str">
        <f t="shared" si="8"/>
        <v>----&gt;</v>
      </c>
    </row>
    <row r="516" spans="13:13" x14ac:dyDescent="0.3">
      <c r="M516" s="101" t="str">
        <f t="shared" ref="M516:M579" si="9">"----&gt;"</f>
        <v>----&gt;</v>
      </c>
    </row>
    <row r="517" spans="13:13" x14ac:dyDescent="0.3">
      <c r="M517" s="101" t="str">
        <f t="shared" si="9"/>
        <v>----&gt;</v>
      </c>
    </row>
    <row r="518" spans="13:13" x14ac:dyDescent="0.3">
      <c r="M518" s="101" t="str">
        <f t="shared" si="9"/>
        <v>----&gt;</v>
      </c>
    </row>
    <row r="519" spans="13:13" x14ac:dyDescent="0.3">
      <c r="M519" s="101" t="str">
        <f t="shared" si="9"/>
        <v>----&gt;</v>
      </c>
    </row>
    <row r="520" spans="13:13" x14ac:dyDescent="0.3">
      <c r="M520" s="101" t="str">
        <f t="shared" si="9"/>
        <v>----&gt;</v>
      </c>
    </row>
    <row r="521" spans="13:13" x14ac:dyDescent="0.3">
      <c r="M521" s="101" t="str">
        <f t="shared" si="9"/>
        <v>----&gt;</v>
      </c>
    </row>
    <row r="522" spans="13:13" x14ac:dyDescent="0.3">
      <c r="M522" s="101" t="str">
        <f t="shared" si="9"/>
        <v>----&gt;</v>
      </c>
    </row>
    <row r="523" spans="13:13" x14ac:dyDescent="0.3">
      <c r="M523" s="101" t="str">
        <f t="shared" si="9"/>
        <v>----&gt;</v>
      </c>
    </row>
    <row r="524" spans="13:13" x14ac:dyDescent="0.3">
      <c r="M524" s="101" t="str">
        <f t="shared" si="9"/>
        <v>----&gt;</v>
      </c>
    </row>
    <row r="525" spans="13:13" x14ac:dyDescent="0.3">
      <c r="M525" s="101" t="str">
        <f t="shared" si="9"/>
        <v>----&gt;</v>
      </c>
    </row>
    <row r="526" spans="13:13" x14ac:dyDescent="0.3">
      <c r="M526" s="101" t="str">
        <f t="shared" si="9"/>
        <v>----&gt;</v>
      </c>
    </row>
    <row r="527" spans="13:13" x14ac:dyDescent="0.3">
      <c r="M527" s="101" t="str">
        <f t="shared" si="9"/>
        <v>----&gt;</v>
      </c>
    </row>
    <row r="528" spans="13:13" x14ac:dyDescent="0.3">
      <c r="M528" s="101" t="str">
        <f t="shared" si="9"/>
        <v>----&gt;</v>
      </c>
    </row>
    <row r="529" spans="13:13" x14ac:dyDescent="0.3">
      <c r="M529" s="101" t="str">
        <f t="shared" si="9"/>
        <v>----&gt;</v>
      </c>
    </row>
    <row r="530" spans="13:13" x14ac:dyDescent="0.3">
      <c r="M530" s="101" t="str">
        <f t="shared" si="9"/>
        <v>----&gt;</v>
      </c>
    </row>
    <row r="531" spans="13:13" x14ac:dyDescent="0.3">
      <c r="M531" s="101" t="str">
        <f t="shared" si="9"/>
        <v>----&gt;</v>
      </c>
    </row>
    <row r="532" spans="13:13" x14ac:dyDescent="0.3">
      <c r="M532" s="101" t="str">
        <f t="shared" si="9"/>
        <v>----&gt;</v>
      </c>
    </row>
    <row r="533" spans="13:13" x14ac:dyDescent="0.3">
      <c r="M533" s="101" t="str">
        <f t="shared" si="9"/>
        <v>----&gt;</v>
      </c>
    </row>
    <row r="534" spans="13:13" x14ac:dyDescent="0.3">
      <c r="M534" s="101" t="str">
        <f t="shared" si="9"/>
        <v>----&gt;</v>
      </c>
    </row>
    <row r="535" spans="13:13" x14ac:dyDescent="0.3">
      <c r="M535" s="101" t="str">
        <f t="shared" si="9"/>
        <v>----&gt;</v>
      </c>
    </row>
    <row r="536" spans="13:13" x14ac:dyDescent="0.3">
      <c r="M536" s="101" t="str">
        <f t="shared" si="9"/>
        <v>----&gt;</v>
      </c>
    </row>
    <row r="537" spans="13:13" x14ac:dyDescent="0.3">
      <c r="M537" s="101" t="str">
        <f t="shared" si="9"/>
        <v>----&gt;</v>
      </c>
    </row>
    <row r="538" spans="13:13" x14ac:dyDescent="0.3">
      <c r="M538" s="101" t="str">
        <f t="shared" si="9"/>
        <v>----&gt;</v>
      </c>
    </row>
    <row r="539" spans="13:13" x14ac:dyDescent="0.3">
      <c r="M539" s="101" t="str">
        <f t="shared" si="9"/>
        <v>----&gt;</v>
      </c>
    </row>
    <row r="540" spans="13:13" x14ac:dyDescent="0.3">
      <c r="M540" s="101" t="str">
        <f t="shared" si="9"/>
        <v>----&gt;</v>
      </c>
    </row>
    <row r="541" spans="13:13" x14ac:dyDescent="0.3">
      <c r="M541" s="101" t="str">
        <f t="shared" si="9"/>
        <v>----&gt;</v>
      </c>
    </row>
    <row r="542" spans="13:13" x14ac:dyDescent="0.3">
      <c r="M542" s="101" t="str">
        <f t="shared" si="9"/>
        <v>----&gt;</v>
      </c>
    </row>
    <row r="543" spans="13:13" x14ac:dyDescent="0.3">
      <c r="M543" s="101" t="str">
        <f t="shared" si="9"/>
        <v>----&gt;</v>
      </c>
    </row>
    <row r="544" spans="13:13" x14ac:dyDescent="0.3">
      <c r="M544" s="101" t="str">
        <f t="shared" si="9"/>
        <v>----&gt;</v>
      </c>
    </row>
    <row r="545" spans="13:13" x14ac:dyDescent="0.3">
      <c r="M545" s="101" t="str">
        <f t="shared" si="9"/>
        <v>----&gt;</v>
      </c>
    </row>
    <row r="546" spans="13:13" x14ac:dyDescent="0.3">
      <c r="M546" s="101" t="str">
        <f t="shared" si="9"/>
        <v>----&gt;</v>
      </c>
    </row>
    <row r="547" spans="13:13" x14ac:dyDescent="0.3">
      <c r="M547" s="101" t="str">
        <f t="shared" si="9"/>
        <v>----&gt;</v>
      </c>
    </row>
    <row r="548" spans="13:13" x14ac:dyDescent="0.3">
      <c r="M548" s="101" t="str">
        <f t="shared" si="9"/>
        <v>----&gt;</v>
      </c>
    </row>
    <row r="549" spans="13:13" x14ac:dyDescent="0.3">
      <c r="M549" s="101" t="str">
        <f t="shared" si="9"/>
        <v>----&gt;</v>
      </c>
    </row>
    <row r="550" spans="13:13" x14ac:dyDescent="0.3">
      <c r="M550" s="101" t="str">
        <f t="shared" si="9"/>
        <v>----&gt;</v>
      </c>
    </row>
    <row r="551" spans="13:13" x14ac:dyDescent="0.3">
      <c r="M551" s="101" t="str">
        <f t="shared" si="9"/>
        <v>----&gt;</v>
      </c>
    </row>
    <row r="552" spans="13:13" x14ac:dyDescent="0.3">
      <c r="M552" s="101" t="str">
        <f t="shared" si="9"/>
        <v>----&gt;</v>
      </c>
    </row>
    <row r="553" spans="13:13" x14ac:dyDescent="0.3">
      <c r="M553" s="101" t="str">
        <f t="shared" si="9"/>
        <v>----&gt;</v>
      </c>
    </row>
    <row r="554" spans="13:13" x14ac:dyDescent="0.3">
      <c r="M554" s="101" t="str">
        <f t="shared" si="9"/>
        <v>----&gt;</v>
      </c>
    </row>
    <row r="555" spans="13:13" x14ac:dyDescent="0.3">
      <c r="M555" s="101" t="str">
        <f t="shared" si="9"/>
        <v>----&gt;</v>
      </c>
    </row>
    <row r="556" spans="13:13" x14ac:dyDescent="0.3">
      <c r="M556" s="101" t="str">
        <f t="shared" si="9"/>
        <v>----&gt;</v>
      </c>
    </row>
    <row r="557" spans="13:13" x14ac:dyDescent="0.3">
      <c r="M557" s="101" t="str">
        <f t="shared" si="9"/>
        <v>----&gt;</v>
      </c>
    </row>
    <row r="558" spans="13:13" x14ac:dyDescent="0.3">
      <c r="M558" s="101" t="str">
        <f t="shared" si="9"/>
        <v>----&gt;</v>
      </c>
    </row>
    <row r="559" spans="13:13" x14ac:dyDescent="0.3">
      <c r="M559" s="101" t="str">
        <f t="shared" si="9"/>
        <v>----&gt;</v>
      </c>
    </row>
    <row r="560" spans="13:13" x14ac:dyDescent="0.3">
      <c r="M560" s="101" t="str">
        <f t="shared" si="9"/>
        <v>----&gt;</v>
      </c>
    </row>
    <row r="561" spans="13:13" x14ac:dyDescent="0.3">
      <c r="M561" s="101" t="str">
        <f t="shared" si="9"/>
        <v>----&gt;</v>
      </c>
    </row>
    <row r="562" spans="13:13" x14ac:dyDescent="0.3">
      <c r="M562" s="101" t="str">
        <f t="shared" si="9"/>
        <v>----&gt;</v>
      </c>
    </row>
    <row r="563" spans="13:13" x14ac:dyDescent="0.3">
      <c r="M563" s="101" t="str">
        <f t="shared" si="9"/>
        <v>----&gt;</v>
      </c>
    </row>
    <row r="564" spans="13:13" x14ac:dyDescent="0.3">
      <c r="M564" s="101" t="str">
        <f t="shared" si="9"/>
        <v>----&gt;</v>
      </c>
    </row>
    <row r="565" spans="13:13" x14ac:dyDescent="0.3">
      <c r="M565" s="101" t="str">
        <f t="shared" si="9"/>
        <v>----&gt;</v>
      </c>
    </row>
    <row r="566" spans="13:13" x14ac:dyDescent="0.3">
      <c r="M566" s="101" t="str">
        <f t="shared" si="9"/>
        <v>----&gt;</v>
      </c>
    </row>
    <row r="567" spans="13:13" x14ac:dyDescent="0.3">
      <c r="M567" s="101" t="str">
        <f t="shared" si="9"/>
        <v>----&gt;</v>
      </c>
    </row>
    <row r="568" spans="13:13" x14ac:dyDescent="0.3">
      <c r="M568" s="101" t="str">
        <f t="shared" si="9"/>
        <v>----&gt;</v>
      </c>
    </row>
    <row r="569" spans="13:13" x14ac:dyDescent="0.3">
      <c r="M569" s="101" t="str">
        <f t="shared" si="9"/>
        <v>----&gt;</v>
      </c>
    </row>
    <row r="570" spans="13:13" x14ac:dyDescent="0.3">
      <c r="M570" s="101" t="str">
        <f t="shared" si="9"/>
        <v>----&gt;</v>
      </c>
    </row>
    <row r="571" spans="13:13" x14ac:dyDescent="0.3">
      <c r="M571" s="101" t="str">
        <f t="shared" si="9"/>
        <v>----&gt;</v>
      </c>
    </row>
    <row r="572" spans="13:13" x14ac:dyDescent="0.3">
      <c r="M572" s="101" t="str">
        <f t="shared" si="9"/>
        <v>----&gt;</v>
      </c>
    </row>
    <row r="573" spans="13:13" x14ac:dyDescent="0.3">
      <c r="M573" s="101" t="str">
        <f t="shared" si="9"/>
        <v>----&gt;</v>
      </c>
    </row>
    <row r="574" spans="13:13" x14ac:dyDescent="0.3">
      <c r="M574" s="101" t="str">
        <f t="shared" si="9"/>
        <v>----&gt;</v>
      </c>
    </row>
    <row r="575" spans="13:13" x14ac:dyDescent="0.3">
      <c r="M575" s="101" t="str">
        <f t="shared" si="9"/>
        <v>----&gt;</v>
      </c>
    </row>
    <row r="576" spans="13:13" x14ac:dyDescent="0.3">
      <c r="M576" s="101" t="str">
        <f t="shared" si="9"/>
        <v>----&gt;</v>
      </c>
    </row>
    <row r="577" spans="13:13" x14ac:dyDescent="0.3">
      <c r="M577" s="101" t="str">
        <f t="shared" si="9"/>
        <v>----&gt;</v>
      </c>
    </row>
    <row r="578" spans="13:13" x14ac:dyDescent="0.3">
      <c r="M578" s="101" t="str">
        <f t="shared" si="9"/>
        <v>----&gt;</v>
      </c>
    </row>
    <row r="579" spans="13:13" x14ac:dyDescent="0.3">
      <c r="M579" s="101" t="str">
        <f t="shared" si="9"/>
        <v>----&gt;</v>
      </c>
    </row>
    <row r="580" spans="13:13" x14ac:dyDescent="0.3">
      <c r="M580" s="101" t="str">
        <f t="shared" ref="M580:M614" si="10">"----&gt;"</f>
        <v>----&gt;</v>
      </c>
    </row>
    <row r="581" spans="13:13" x14ac:dyDescent="0.3">
      <c r="M581" s="101" t="str">
        <f t="shared" si="10"/>
        <v>----&gt;</v>
      </c>
    </row>
    <row r="582" spans="13:13" x14ac:dyDescent="0.3">
      <c r="M582" s="101" t="str">
        <f t="shared" si="10"/>
        <v>----&gt;</v>
      </c>
    </row>
    <row r="583" spans="13:13" x14ac:dyDescent="0.3">
      <c r="M583" s="101" t="str">
        <f t="shared" si="10"/>
        <v>----&gt;</v>
      </c>
    </row>
    <row r="584" spans="13:13" x14ac:dyDescent="0.3">
      <c r="M584" s="101" t="str">
        <f t="shared" si="10"/>
        <v>----&gt;</v>
      </c>
    </row>
    <row r="585" spans="13:13" x14ac:dyDescent="0.3">
      <c r="M585" s="101" t="str">
        <f t="shared" si="10"/>
        <v>----&gt;</v>
      </c>
    </row>
    <row r="586" spans="13:13" x14ac:dyDescent="0.3">
      <c r="M586" s="101" t="str">
        <f t="shared" si="10"/>
        <v>----&gt;</v>
      </c>
    </row>
    <row r="587" spans="13:13" x14ac:dyDescent="0.3">
      <c r="M587" s="101" t="str">
        <f t="shared" si="10"/>
        <v>----&gt;</v>
      </c>
    </row>
    <row r="588" spans="13:13" x14ac:dyDescent="0.3">
      <c r="M588" s="101" t="str">
        <f t="shared" si="10"/>
        <v>----&gt;</v>
      </c>
    </row>
    <row r="589" spans="13:13" x14ac:dyDescent="0.3">
      <c r="M589" s="101" t="str">
        <f t="shared" si="10"/>
        <v>----&gt;</v>
      </c>
    </row>
    <row r="590" spans="13:13" x14ac:dyDescent="0.3">
      <c r="M590" s="101" t="str">
        <f t="shared" si="10"/>
        <v>----&gt;</v>
      </c>
    </row>
    <row r="591" spans="13:13" x14ac:dyDescent="0.3">
      <c r="M591" s="101" t="str">
        <f t="shared" si="10"/>
        <v>----&gt;</v>
      </c>
    </row>
    <row r="592" spans="13:13" x14ac:dyDescent="0.3">
      <c r="M592" s="101" t="str">
        <f t="shared" si="10"/>
        <v>----&gt;</v>
      </c>
    </row>
    <row r="593" spans="13:13" x14ac:dyDescent="0.3">
      <c r="M593" s="101" t="str">
        <f t="shared" si="10"/>
        <v>----&gt;</v>
      </c>
    </row>
    <row r="594" spans="13:13" x14ac:dyDescent="0.3">
      <c r="M594" s="101" t="str">
        <f t="shared" si="10"/>
        <v>----&gt;</v>
      </c>
    </row>
    <row r="595" spans="13:13" x14ac:dyDescent="0.3">
      <c r="M595" s="101" t="str">
        <f t="shared" si="10"/>
        <v>----&gt;</v>
      </c>
    </row>
    <row r="596" spans="13:13" x14ac:dyDescent="0.3">
      <c r="M596" s="101" t="str">
        <f t="shared" si="10"/>
        <v>----&gt;</v>
      </c>
    </row>
    <row r="597" spans="13:13" x14ac:dyDescent="0.3">
      <c r="M597" s="101" t="str">
        <f t="shared" si="10"/>
        <v>----&gt;</v>
      </c>
    </row>
    <row r="598" spans="13:13" x14ac:dyDescent="0.3">
      <c r="M598" s="101" t="str">
        <f t="shared" si="10"/>
        <v>----&gt;</v>
      </c>
    </row>
    <row r="599" spans="13:13" x14ac:dyDescent="0.3">
      <c r="M599" s="101" t="str">
        <f t="shared" si="10"/>
        <v>----&gt;</v>
      </c>
    </row>
    <row r="600" spans="13:13" x14ac:dyDescent="0.3">
      <c r="M600" s="101" t="str">
        <f t="shared" si="10"/>
        <v>----&gt;</v>
      </c>
    </row>
    <row r="601" spans="13:13" x14ac:dyDescent="0.3">
      <c r="M601" s="101" t="str">
        <f t="shared" si="10"/>
        <v>----&gt;</v>
      </c>
    </row>
    <row r="602" spans="13:13" x14ac:dyDescent="0.3">
      <c r="M602" s="101" t="str">
        <f t="shared" si="10"/>
        <v>----&gt;</v>
      </c>
    </row>
    <row r="603" spans="13:13" x14ac:dyDescent="0.3">
      <c r="M603" s="101" t="str">
        <f t="shared" si="10"/>
        <v>----&gt;</v>
      </c>
    </row>
    <row r="604" spans="13:13" x14ac:dyDescent="0.3">
      <c r="M604" s="101" t="str">
        <f t="shared" si="10"/>
        <v>----&gt;</v>
      </c>
    </row>
    <row r="605" spans="13:13" x14ac:dyDescent="0.3">
      <c r="M605" s="101" t="str">
        <f t="shared" si="10"/>
        <v>----&gt;</v>
      </c>
    </row>
    <row r="606" spans="13:13" x14ac:dyDescent="0.3">
      <c r="M606" s="101" t="str">
        <f t="shared" si="10"/>
        <v>----&gt;</v>
      </c>
    </row>
    <row r="607" spans="13:13" x14ac:dyDescent="0.3">
      <c r="M607" s="101" t="str">
        <f t="shared" si="10"/>
        <v>----&gt;</v>
      </c>
    </row>
    <row r="608" spans="13:13" x14ac:dyDescent="0.3">
      <c r="M608" s="101" t="str">
        <f t="shared" si="10"/>
        <v>----&gt;</v>
      </c>
    </row>
    <row r="609" spans="13:13" x14ac:dyDescent="0.3">
      <c r="M609" s="101" t="str">
        <f t="shared" si="10"/>
        <v>----&gt;</v>
      </c>
    </row>
    <row r="610" spans="13:13" x14ac:dyDescent="0.3">
      <c r="M610" s="101" t="str">
        <f t="shared" si="10"/>
        <v>----&gt;</v>
      </c>
    </row>
    <row r="611" spans="13:13" x14ac:dyDescent="0.3">
      <c r="M611" s="101" t="str">
        <f t="shared" si="10"/>
        <v>----&gt;</v>
      </c>
    </row>
    <row r="612" spans="13:13" x14ac:dyDescent="0.3">
      <c r="M612" s="101" t="str">
        <f t="shared" si="10"/>
        <v>----&gt;</v>
      </c>
    </row>
    <row r="613" spans="13:13" x14ac:dyDescent="0.3">
      <c r="M613" s="101" t="str">
        <f t="shared" si="10"/>
        <v>----&gt;</v>
      </c>
    </row>
    <row r="614" spans="13:13" x14ac:dyDescent="0.3">
      <c r="M614" s="101" t="str">
        <f t="shared" si="10"/>
        <v>----&gt;</v>
      </c>
    </row>
  </sheetData>
  <autoFilter ref="A4:AB614" xr:uid="{00000000-0009-0000-0000-000003000000}"/>
  <mergeCells count="2">
    <mergeCell ref="B1:L1"/>
    <mergeCell ref="N1:Y1"/>
  </mergeCells>
  <dataValidations xWindow="723" yWindow="395" count="5">
    <dataValidation allowBlank="1" showInputMessage="1" showErrorMessage="1" promptTitle="Case Pack" prompt="Refers to how the item is ordered by a store" sqref="T123:T128 T6:T10" xr:uid="{00000000-0002-0000-0300-000000000000}"/>
    <dataValidation type="list" allowBlank="1" showInputMessage="1" showErrorMessage="1" sqref="S123:S128 S6:S10" xr:uid="{00000000-0002-0000-0300-000001000000}">
      <formula1>"OZ, FZ, CT, EA, GR"</formula1>
    </dataValidation>
    <dataValidation type="custom" allowBlank="1" showInputMessage="1" showErrorMessage="1" errorTitle="Enter Description" error="Please use ALL CAPS." promptTitle="Enter Description" prompt="Please use ALL CAPS." sqref="Q123:Q128 Q6:Q10" xr:uid="{00000000-0002-0000-0300-000002000000}">
      <formula1>EXACT(Q6,UPPER(Q6))</formula1>
    </dataValidation>
    <dataValidation type="custom" allowBlank="1" showInputMessage="1" showErrorMessage="1" errorTitle="Brand" error="Please use ALL CAPS." promptTitle="Brand" prompt="Please use ALL CAPS." sqref="P127:P128 P6:P10" xr:uid="{00000000-0002-0000-0300-000003000000}">
      <formula1>EXACT(P6,UPPER(P6))</formula1>
    </dataValidation>
    <dataValidation type="custom" allowBlank="1" showInputMessage="1" showErrorMessage="1" errorTitle="UPC Formatting Errol" error="Please re-enter the UPC using no more than 13 numeric digits.  No spaces, dashes or single quote marks are allowed in this field." promptTitle="Enter UPC" prompt="  - Enter leading digit_x000a_  - No check digit _x000a_  - No more than 13 numeric digits_x000a__x000a_No spaces, dashes or single quote marks are allowed in this field." sqref="B123:B128 N123:N128" xr:uid="{00000000-0002-0000-0300-000004000000}">
      <formula1>AND(LEN(B123)&lt;14,B123&gt;0,B123&lt;9999999999999)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workbookViewId="0">
      <selection activeCell="L1" sqref="L1"/>
    </sheetView>
  </sheetViews>
  <sheetFormatPr defaultColWidth="8.77734375" defaultRowHeight="14.4" x14ac:dyDescent="0.3"/>
  <cols>
    <col min="1" max="1" width="3.218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New_Categories</vt:lpstr>
      <vt:lpstr>New Item Setup Form</vt:lpstr>
      <vt:lpstr>Discontinue Item Form</vt:lpstr>
      <vt:lpstr>Transition Items</vt:lpstr>
      <vt:lpstr>GFSS Procedures</vt:lpstr>
      <vt:lpstr>Baking</vt:lpstr>
      <vt:lpstr>Beverage</vt:lpstr>
      <vt:lpstr>Breakfast</vt:lpstr>
      <vt:lpstr>Bulk</vt:lpstr>
      <vt:lpstr>Candy_Snacks</vt:lpstr>
      <vt:lpstr>Categories</vt:lpstr>
      <vt:lpstr>Dairy</vt:lpstr>
      <vt:lpstr>Essentials</vt:lpstr>
      <vt:lpstr>Frozen</vt:lpstr>
      <vt:lpstr>Meals</vt:lpstr>
    </vt:vector>
  </TitlesOfParts>
  <Company>Whole Foods Market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westmork</dc:creator>
  <cp:lastModifiedBy>Paul Sasenbury</cp:lastModifiedBy>
  <cp:lastPrinted>2011-02-23T23:04:57Z</cp:lastPrinted>
  <dcterms:created xsi:type="dcterms:W3CDTF">2010-12-22T17:37:13Z</dcterms:created>
  <dcterms:modified xsi:type="dcterms:W3CDTF">2024-07-10T14:47:36Z</dcterms:modified>
</cp:coreProperties>
</file>